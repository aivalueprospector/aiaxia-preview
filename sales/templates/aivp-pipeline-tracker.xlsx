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ipeline" sheetId="1" state="visible" r:id="rId1"/>
    <sheet xmlns:r="http://schemas.openxmlformats.org/officeDocument/2006/relationships" name="Rate Card" sheetId="2" state="hidden" r:id="rId2"/>
    <sheet xmlns:r="http://schemas.openxmlformats.org/officeDocument/2006/relationships" name="Summary" sheetId="3" state="visible" r:id="rId3"/>
  </sheets>
  <definedNames/>
  <calcPr calcId="124519" fullCalcOnLoad="1"/>
</workbook>
</file>

<file path=xl/styles.xml><?xml version="1.0" encoding="utf-8"?>
<styleSheet xmlns="http://schemas.openxmlformats.org/spreadsheetml/2006/main">
  <numFmts count="1">
    <numFmt numFmtId="164" formatCode="$#,##0"/>
  </numFmts>
  <fonts count="5">
    <font>
      <name val="Calibri"/>
      <family val="2"/>
      <color theme="1"/>
      <sz val="11"/>
      <scheme val="minor"/>
    </font>
    <font>
      <b val="1"/>
      <color rgb="000F1D2C"/>
      <sz val="15"/>
    </font>
    <font>
      <b val="1"/>
      <color rgb="00FFFFFF"/>
    </font>
    <font>
      <b val="1"/>
      <color rgb="000F1D2C"/>
      <sz val="14"/>
    </font>
    <font>
      <b val="1"/>
    </font>
  </fonts>
  <fills count="5">
    <fill>
      <patternFill/>
    </fill>
    <fill>
      <patternFill patternType="gray125"/>
    </fill>
    <fill>
      <patternFill patternType="solid">
        <fgColor rgb="00E8B547"/>
      </patternFill>
    </fill>
    <fill>
      <patternFill patternType="solid">
        <fgColor rgb="0092700F"/>
      </patternFill>
    </fill>
    <fill>
      <patternFill patternType="solid">
        <fgColor rgb="00FFFDF5"/>
      </patternFill>
    </fill>
  </fills>
  <borders count="2">
    <border>
      <left/>
      <right/>
      <top/>
      <bottom/>
      <diagonal/>
    </border>
    <border>
      <left style="thin">
        <color rgb="00D0D7DE"/>
      </left>
      <right style="thin">
        <color rgb="00D0D7DE"/>
      </right>
      <top style="thin">
        <color rgb="00D0D7DE"/>
      </top>
      <bottom style="thin">
        <color rgb="00D0D7DE"/>
      </bottom>
    </border>
  </borders>
  <cellStyleXfs count="1">
    <xf numFmtId="0" fontId="0" fillId="0" borderId="0"/>
  </cellStyleXfs>
  <cellXfs count="10">
    <xf numFmtId="0" fontId="0" fillId="0" borderId="0" pivotButton="0" quotePrefix="0" xfId="0"/>
    <xf numFmtId="0" fontId="1" fillId="2" borderId="0" applyAlignment="1" pivotButton="0" quotePrefix="0" xfId="0">
      <alignment vertical="center" indent="1"/>
    </xf>
    <xf numFmtId="0" fontId="2" fillId="3" borderId="1" applyAlignment="1" pivotButton="0" quotePrefix="0" xfId="0">
      <alignment horizontal="center" wrapText="1"/>
    </xf>
    <xf numFmtId="0" fontId="0" fillId="4" borderId="1" pivotButton="0" quotePrefix="0" xfId="0"/>
    <xf numFmtId="0" fontId="0" fillId="0" borderId="1" pivotButton="0" quotePrefix="0" xfId="0"/>
    <xf numFmtId="164" fontId="0" fillId="0" borderId="1" pivotButton="0" quotePrefix="0" xfId="0"/>
    <xf numFmtId="0" fontId="3" fillId="2" borderId="0" pivotButton="0" quotePrefix="0" xfId="0"/>
    <xf numFmtId="0" fontId="2" fillId="3" borderId="1" pivotButton="0" quotePrefix="0" xfId="0"/>
    <xf numFmtId="0" fontId="4" fillId="0" borderId="0" pivotButton="0" quotePrefix="0" xfId="0"/>
    <xf numFmtId="164"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02"/>
  <sheetViews>
    <sheetView showGridLines="0" workbookViewId="0">
      <pane ySplit="2" topLeftCell="A3" activePane="bottomLeft" state="frozen"/>
      <selection pane="bottomLeft" activeCell="A1" sqref="A1"/>
    </sheetView>
  </sheetViews>
  <sheetFormatPr baseColWidth="8" defaultRowHeight="15"/>
  <cols>
    <col width="26" customWidth="1" min="1" max="1"/>
    <col width="18" customWidth="1" min="2" max="2"/>
    <col width="26" customWidth="1" min="3" max="3"/>
    <col width="12" customWidth="1" min="4" max="4"/>
    <col width="16" customWidth="1" min="5" max="5"/>
    <col width="12" customWidth="1" min="6" max="6"/>
    <col width="8" customWidth="1" min="7" max="7"/>
    <col width="16" customWidth="1" min="8" max="8"/>
    <col width="26" customWidth="1" min="9" max="9"/>
    <col width="16" customWidth="1" min="10" max="10"/>
    <col width="30" customWidth="1" min="11" max="11"/>
  </cols>
  <sheetData>
    <row r="1" ht="28" customHeight="1">
      <c r="A1" s="1" t="inlineStr">
        <is>
          <t>AI Value Prospectors — Sales Pipeline Tracker</t>
        </is>
      </c>
    </row>
    <row r="2">
      <c r="A2" s="2" t="inlineStr">
        <is>
          <t>Company / Prospect</t>
        </is>
      </c>
      <c r="B2" s="2" t="inlineStr">
        <is>
          <t>Contact</t>
        </is>
      </c>
      <c r="C2" s="2" t="inlineStr">
        <is>
          <t>Email</t>
        </is>
      </c>
      <c r="D2" s="2" t="inlineStr">
        <is>
          <t>Brand</t>
        </is>
      </c>
      <c r="E2" s="2" t="inlineStr">
        <is>
          <t>Stage</t>
        </is>
      </c>
      <c r="F2" s="2" t="inlineStr">
        <is>
          <t>Tier</t>
        </is>
      </c>
      <c r="G2" s="2" t="inlineStr">
        <is>
          <t>Seats</t>
        </is>
      </c>
      <c r="H2" s="2" t="inlineStr">
        <is>
          <t>Est. Annual Value</t>
        </is>
      </c>
      <c r="I2" s="2" t="inlineStr">
        <is>
          <t>Next Action</t>
        </is>
      </c>
      <c r="J2" s="2" t="inlineStr">
        <is>
          <t>Next Action Date</t>
        </is>
      </c>
      <c r="K2" s="2" t="inlineStr">
        <is>
          <t>Notes</t>
        </is>
      </c>
    </row>
    <row r="3">
      <c r="A3" s="3" t="inlineStr">
        <is>
          <t>Acme Logistics</t>
        </is>
      </c>
      <c r="B3" s="3" t="inlineStr">
        <is>
          <t>Maria Vega</t>
        </is>
      </c>
      <c r="C3" s="3" t="inlineStr">
        <is>
          <t>maria@acme.com</t>
        </is>
      </c>
      <c r="D3" s="4" t="inlineStr">
        <is>
          <t>ProAsiste</t>
        </is>
      </c>
      <c r="E3" s="4" t="inlineStr">
        <is>
          <t>Demo Scheduled</t>
        </is>
      </c>
      <c r="F3" s="4" t="inlineStr">
        <is>
          <t>GOLD</t>
        </is>
      </c>
      <c r="G3" s="3" t="n">
        <v>5</v>
      </c>
      <c r="H3" s="5">
        <f>IF(OR(F3="",G3=""),"",G3*VLOOKUP(F3,'Rate Card'!$A$2:$B$5,2,FALSE))</f>
        <v/>
      </c>
      <c r="I3" s="3" t="inlineStr">
        <is>
          <t>Send recap + quote</t>
        </is>
      </c>
      <c r="J3" s="4" t="inlineStr"/>
      <c r="K3" s="3" t="inlineStr">
        <is>
          <t>Warm intro via referral</t>
        </is>
      </c>
    </row>
    <row r="4">
      <c r="A4" s="3" t="n"/>
      <c r="B4" s="3" t="n"/>
      <c r="C4" s="3" t="n"/>
      <c r="D4" s="4" t="n"/>
      <c r="E4" s="4" t="n"/>
      <c r="F4" s="4" t="n"/>
      <c r="G4" s="3" t="n"/>
      <c r="H4" s="5">
        <f>IF(OR(F4="",G4=""),"",G4*VLOOKUP(F4,'Rate Card'!$A$2:$B$5,2,FALSE))</f>
        <v/>
      </c>
      <c r="I4" s="3" t="n"/>
      <c r="J4" s="4" t="n"/>
      <c r="K4" s="3" t="n"/>
    </row>
    <row r="5">
      <c r="A5" s="3" t="n"/>
      <c r="B5" s="3" t="n"/>
      <c r="C5" s="3" t="n"/>
      <c r="D5" s="4" t="n"/>
      <c r="E5" s="4" t="n"/>
      <c r="F5" s="4" t="n"/>
      <c r="G5" s="3" t="n"/>
      <c r="H5" s="5">
        <f>IF(OR(F5="",G5=""),"",G5*VLOOKUP(F5,'Rate Card'!$A$2:$B$5,2,FALSE))</f>
        <v/>
      </c>
      <c r="I5" s="3" t="n"/>
      <c r="J5" s="4" t="n"/>
      <c r="K5" s="3" t="n"/>
    </row>
    <row r="6">
      <c r="A6" s="3" t="n"/>
      <c r="B6" s="3" t="n"/>
      <c r="C6" s="3" t="n"/>
      <c r="D6" s="4" t="n"/>
      <c r="E6" s="4" t="n"/>
      <c r="F6" s="4" t="n"/>
      <c r="G6" s="3" t="n"/>
      <c r="H6" s="5">
        <f>IF(OR(F6="",G6=""),"",G6*VLOOKUP(F6,'Rate Card'!$A$2:$B$5,2,FALSE))</f>
        <v/>
      </c>
      <c r="I6" s="3" t="n"/>
      <c r="J6" s="4" t="n"/>
      <c r="K6" s="3" t="n"/>
    </row>
    <row r="7">
      <c r="A7" s="3" t="n"/>
      <c r="B7" s="3" t="n"/>
      <c r="C7" s="3" t="n"/>
      <c r="D7" s="4" t="n"/>
      <c r="E7" s="4" t="n"/>
      <c r="F7" s="4" t="n"/>
      <c r="G7" s="3" t="n"/>
      <c r="H7" s="5">
        <f>IF(OR(F7="",G7=""),"",G7*VLOOKUP(F7,'Rate Card'!$A$2:$B$5,2,FALSE))</f>
        <v/>
      </c>
      <c r="I7" s="3" t="n"/>
      <c r="J7" s="4" t="n"/>
      <c r="K7" s="3" t="n"/>
    </row>
    <row r="8">
      <c r="A8" s="3" t="n"/>
      <c r="B8" s="3" t="n"/>
      <c r="C8" s="3" t="n"/>
      <c r="D8" s="4" t="n"/>
      <c r="E8" s="4" t="n"/>
      <c r="F8" s="4" t="n"/>
      <c r="G8" s="3" t="n"/>
      <c r="H8" s="5">
        <f>IF(OR(F8="",G8=""),"",G8*VLOOKUP(F8,'Rate Card'!$A$2:$B$5,2,FALSE))</f>
        <v/>
      </c>
      <c r="I8" s="3" t="n"/>
      <c r="J8" s="4" t="n"/>
      <c r="K8" s="3" t="n"/>
    </row>
    <row r="9">
      <c r="A9" s="3" t="n"/>
      <c r="B9" s="3" t="n"/>
      <c r="C9" s="3" t="n"/>
      <c r="D9" s="4" t="n"/>
      <c r="E9" s="4" t="n"/>
      <c r="F9" s="4" t="n"/>
      <c r="G9" s="3" t="n"/>
      <c r="H9" s="5">
        <f>IF(OR(F9="",G9=""),"",G9*VLOOKUP(F9,'Rate Card'!$A$2:$B$5,2,FALSE))</f>
        <v/>
      </c>
      <c r="I9" s="3" t="n"/>
      <c r="J9" s="4" t="n"/>
      <c r="K9" s="3" t="n"/>
    </row>
    <row r="10">
      <c r="A10" s="3" t="n"/>
      <c r="B10" s="3" t="n"/>
      <c r="C10" s="3" t="n"/>
      <c r="D10" s="4" t="n"/>
      <c r="E10" s="4" t="n"/>
      <c r="F10" s="4" t="n"/>
      <c r="G10" s="3" t="n"/>
      <c r="H10" s="5">
        <f>IF(OR(F10="",G10=""),"",G10*VLOOKUP(F10,'Rate Card'!$A$2:$B$5,2,FALSE))</f>
        <v/>
      </c>
      <c r="I10" s="3" t="n"/>
      <c r="J10" s="4" t="n"/>
      <c r="K10" s="3" t="n"/>
    </row>
    <row r="11">
      <c r="A11" s="3" t="n"/>
      <c r="B11" s="3" t="n"/>
      <c r="C11" s="3" t="n"/>
      <c r="D11" s="4" t="n"/>
      <c r="E11" s="4" t="n"/>
      <c r="F11" s="4" t="n"/>
      <c r="G11" s="3" t="n"/>
      <c r="H11" s="5">
        <f>IF(OR(F11="",G11=""),"",G11*VLOOKUP(F11,'Rate Card'!$A$2:$B$5,2,FALSE))</f>
        <v/>
      </c>
      <c r="I11" s="3" t="n"/>
      <c r="J11" s="4" t="n"/>
      <c r="K11" s="3" t="n"/>
    </row>
    <row r="12">
      <c r="A12" s="3" t="n"/>
      <c r="B12" s="3" t="n"/>
      <c r="C12" s="3" t="n"/>
      <c r="D12" s="4" t="n"/>
      <c r="E12" s="4" t="n"/>
      <c r="F12" s="4" t="n"/>
      <c r="G12" s="3" t="n"/>
      <c r="H12" s="5">
        <f>IF(OR(F12="",G12=""),"",G12*VLOOKUP(F12,'Rate Card'!$A$2:$B$5,2,FALSE))</f>
        <v/>
      </c>
      <c r="I12" s="3" t="n"/>
      <c r="J12" s="4" t="n"/>
      <c r="K12" s="3" t="n"/>
    </row>
    <row r="13">
      <c r="A13" s="3" t="n"/>
      <c r="B13" s="3" t="n"/>
      <c r="C13" s="3" t="n"/>
      <c r="D13" s="4" t="n"/>
      <c r="E13" s="4" t="n"/>
      <c r="F13" s="4" t="n"/>
      <c r="G13" s="3" t="n"/>
      <c r="H13" s="5">
        <f>IF(OR(F13="",G13=""),"",G13*VLOOKUP(F13,'Rate Card'!$A$2:$B$5,2,FALSE))</f>
        <v/>
      </c>
      <c r="I13" s="3" t="n"/>
      <c r="J13" s="4" t="n"/>
      <c r="K13" s="3" t="n"/>
    </row>
    <row r="14">
      <c r="A14" s="3" t="n"/>
      <c r="B14" s="3" t="n"/>
      <c r="C14" s="3" t="n"/>
      <c r="D14" s="4" t="n"/>
      <c r="E14" s="4" t="n"/>
      <c r="F14" s="4" t="n"/>
      <c r="G14" s="3" t="n"/>
      <c r="H14" s="5">
        <f>IF(OR(F14="",G14=""),"",G14*VLOOKUP(F14,'Rate Card'!$A$2:$B$5,2,FALSE))</f>
        <v/>
      </c>
      <c r="I14" s="3" t="n"/>
      <c r="J14" s="4" t="n"/>
      <c r="K14" s="3" t="n"/>
    </row>
    <row r="15">
      <c r="A15" s="3" t="n"/>
      <c r="B15" s="3" t="n"/>
      <c r="C15" s="3" t="n"/>
      <c r="D15" s="4" t="n"/>
      <c r="E15" s="4" t="n"/>
      <c r="F15" s="4" t="n"/>
      <c r="G15" s="3" t="n"/>
      <c r="H15" s="5">
        <f>IF(OR(F15="",G15=""),"",G15*VLOOKUP(F15,'Rate Card'!$A$2:$B$5,2,FALSE))</f>
        <v/>
      </c>
      <c r="I15" s="3" t="n"/>
      <c r="J15" s="4" t="n"/>
      <c r="K15" s="3" t="n"/>
    </row>
    <row r="16">
      <c r="A16" s="3" t="n"/>
      <c r="B16" s="3" t="n"/>
      <c r="C16" s="3" t="n"/>
      <c r="D16" s="4" t="n"/>
      <c r="E16" s="4" t="n"/>
      <c r="F16" s="4" t="n"/>
      <c r="G16" s="3" t="n"/>
      <c r="H16" s="5">
        <f>IF(OR(F16="",G16=""),"",G16*VLOOKUP(F16,'Rate Card'!$A$2:$B$5,2,FALSE))</f>
        <v/>
      </c>
      <c r="I16" s="3" t="n"/>
      <c r="J16" s="4" t="n"/>
      <c r="K16" s="3" t="n"/>
    </row>
    <row r="17">
      <c r="A17" s="3" t="n"/>
      <c r="B17" s="3" t="n"/>
      <c r="C17" s="3" t="n"/>
      <c r="D17" s="4" t="n"/>
      <c r="E17" s="4" t="n"/>
      <c r="F17" s="4" t="n"/>
      <c r="G17" s="3" t="n"/>
      <c r="H17" s="5">
        <f>IF(OR(F17="",G17=""),"",G17*VLOOKUP(F17,'Rate Card'!$A$2:$B$5,2,FALSE))</f>
        <v/>
      </c>
      <c r="I17" s="3" t="n"/>
      <c r="J17" s="4" t="n"/>
      <c r="K17" s="3" t="n"/>
    </row>
    <row r="18">
      <c r="A18" s="3" t="n"/>
      <c r="B18" s="3" t="n"/>
      <c r="C18" s="3" t="n"/>
      <c r="D18" s="4" t="n"/>
      <c r="E18" s="4" t="n"/>
      <c r="F18" s="4" t="n"/>
      <c r="G18" s="3" t="n"/>
      <c r="H18" s="5">
        <f>IF(OR(F18="",G18=""),"",G18*VLOOKUP(F18,'Rate Card'!$A$2:$B$5,2,FALSE))</f>
        <v/>
      </c>
      <c r="I18" s="3" t="n"/>
      <c r="J18" s="4" t="n"/>
      <c r="K18" s="3" t="n"/>
    </row>
    <row r="19">
      <c r="A19" s="3" t="n"/>
      <c r="B19" s="3" t="n"/>
      <c r="C19" s="3" t="n"/>
      <c r="D19" s="4" t="n"/>
      <c r="E19" s="4" t="n"/>
      <c r="F19" s="4" t="n"/>
      <c r="G19" s="3" t="n"/>
      <c r="H19" s="5">
        <f>IF(OR(F19="",G19=""),"",G19*VLOOKUP(F19,'Rate Card'!$A$2:$B$5,2,FALSE))</f>
        <v/>
      </c>
      <c r="I19" s="3" t="n"/>
      <c r="J19" s="4" t="n"/>
      <c r="K19" s="3" t="n"/>
    </row>
    <row r="20">
      <c r="A20" s="3" t="n"/>
      <c r="B20" s="3" t="n"/>
      <c r="C20" s="3" t="n"/>
      <c r="D20" s="4" t="n"/>
      <c r="E20" s="4" t="n"/>
      <c r="F20" s="4" t="n"/>
      <c r="G20" s="3" t="n"/>
      <c r="H20" s="5">
        <f>IF(OR(F20="",G20=""),"",G20*VLOOKUP(F20,'Rate Card'!$A$2:$B$5,2,FALSE))</f>
        <v/>
      </c>
      <c r="I20" s="3" t="n"/>
      <c r="J20" s="4" t="n"/>
      <c r="K20" s="3" t="n"/>
    </row>
    <row r="21">
      <c r="A21" s="3" t="n"/>
      <c r="B21" s="3" t="n"/>
      <c r="C21" s="3" t="n"/>
      <c r="D21" s="4" t="n"/>
      <c r="E21" s="4" t="n"/>
      <c r="F21" s="4" t="n"/>
      <c r="G21" s="3" t="n"/>
      <c r="H21" s="5">
        <f>IF(OR(F21="",G21=""),"",G21*VLOOKUP(F21,'Rate Card'!$A$2:$B$5,2,FALSE))</f>
        <v/>
      </c>
      <c r="I21" s="3" t="n"/>
      <c r="J21" s="4" t="n"/>
      <c r="K21" s="3" t="n"/>
    </row>
    <row r="22">
      <c r="A22" s="3" t="n"/>
      <c r="B22" s="3" t="n"/>
      <c r="C22" s="3" t="n"/>
      <c r="D22" s="4" t="n"/>
      <c r="E22" s="4" t="n"/>
      <c r="F22" s="4" t="n"/>
      <c r="G22" s="3" t="n"/>
      <c r="H22" s="5">
        <f>IF(OR(F22="",G22=""),"",G22*VLOOKUP(F22,'Rate Card'!$A$2:$B$5,2,FALSE))</f>
        <v/>
      </c>
      <c r="I22" s="3" t="n"/>
      <c r="J22" s="4" t="n"/>
      <c r="K22" s="3" t="n"/>
    </row>
    <row r="23">
      <c r="A23" s="3" t="n"/>
      <c r="B23" s="3" t="n"/>
      <c r="C23" s="3" t="n"/>
      <c r="D23" s="4" t="n"/>
      <c r="E23" s="4" t="n"/>
      <c r="F23" s="4" t="n"/>
      <c r="G23" s="3" t="n"/>
      <c r="H23" s="5">
        <f>IF(OR(F23="",G23=""),"",G23*VLOOKUP(F23,'Rate Card'!$A$2:$B$5,2,FALSE))</f>
        <v/>
      </c>
      <c r="I23" s="3" t="n"/>
      <c r="J23" s="4" t="n"/>
      <c r="K23" s="3" t="n"/>
    </row>
    <row r="24">
      <c r="A24" s="3" t="n"/>
      <c r="B24" s="3" t="n"/>
      <c r="C24" s="3" t="n"/>
      <c r="D24" s="4" t="n"/>
      <c r="E24" s="4" t="n"/>
      <c r="F24" s="4" t="n"/>
      <c r="G24" s="3" t="n"/>
      <c r="H24" s="5">
        <f>IF(OR(F24="",G24=""),"",G24*VLOOKUP(F24,'Rate Card'!$A$2:$B$5,2,FALSE))</f>
        <v/>
      </c>
      <c r="I24" s="3" t="n"/>
      <c r="J24" s="4" t="n"/>
      <c r="K24" s="3" t="n"/>
    </row>
    <row r="25">
      <c r="A25" s="3" t="n"/>
      <c r="B25" s="3" t="n"/>
      <c r="C25" s="3" t="n"/>
      <c r="D25" s="4" t="n"/>
      <c r="E25" s="4" t="n"/>
      <c r="F25" s="4" t="n"/>
      <c r="G25" s="3" t="n"/>
      <c r="H25" s="5">
        <f>IF(OR(F25="",G25=""),"",G25*VLOOKUP(F25,'Rate Card'!$A$2:$B$5,2,FALSE))</f>
        <v/>
      </c>
      <c r="I25" s="3" t="n"/>
      <c r="J25" s="4" t="n"/>
      <c r="K25" s="3" t="n"/>
    </row>
    <row r="26">
      <c r="A26" s="3" t="n"/>
      <c r="B26" s="3" t="n"/>
      <c r="C26" s="3" t="n"/>
      <c r="D26" s="4" t="n"/>
      <c r="E26" s="4" t="n"/>
      <c r="F26" s="4" t="n"/>
      <c r="G26" s="3" t="n"/>
      <c r="H26" s="5">
        <f>IF(OR(F26="",G26=""),"",G26*VLOOKUP(F26,'Rate Card'!$A$2:$B$5,2,FALSE))</f>
        <v/>
      </c>
      <c r="I26" s="3" t="n"/>
      <c r="J26" s="4" t="n"/>
      <c r="K26" s="3" t="n"/>
    </row>
    <row r="27">
      <c r="A27" s="3" t="n"/>
      <c r="B27" s="3" t="n"/>
      <c r="C27" s="3" t="n"/>
      <c r="D27" s="4" t="n"/>
      <c r="E27" s="4" t="n"/>
      <c r="F27" s="4" t="n"/>
      <c r="G27" s="3" t="n"/>
      <c r="H27" s="5">
        <f>IF(OR(F27="",G27=""),"",G27*VLOOKUP(F27,'Rate Card'!$A$2:$B$5,2,FALSE))</f>
        <v/>
      </c>
      <c r="I27" s="3" t="n"/>
      <c r="J27" s="4" t="n"/>
      <c r="K27" s="3" t="n"/>
    </row>
    <row r="28">
      <c r="A28" s="3" t="n"/>
      <c r="B28" s="3" t="n"/>
      <c r="C28" s="3" t="n"/>
      <c r="D28" s="4" t="n"/>
      <c r="E28" s="4" t="n"/>
      <c r="F28" s="4" t="n"/>
      <c r="G28" s="3" t="n"/>
      <c r="H28" s="5">
        <f>IF(OR(F28="",G28=""),"",G28*VLOOKUP(F28,'Rate Card'!$A$2:$B$5,2,FALSE))</f>
        <v/>
      </c>
      <c r="I28" s="3" t="n"/>
      <c r="J28" s="4" t="n"/>
      <c r="K28" s="3" t="n"/>
    </row>
    <row r="29">
      <c r="A29" s="3" t="n"/>
      <c r="B29" s="3" t="n"/>
      <c r="C29" s="3" t="n"/>
      <c r="D29" s="4" t="n"/>
      <c r="E29" s="4" t="n"/>
      <c r="F29" s="4" t="n"/>
      <c r="G29" s="3" t="n"/>
      <c r="H29" s="5">
        <f>IF(OR(F29="",G29=""),"",G29*VLOOKUP(F29,'Rate Card'!$A$2:$B$5,2,FALSE))</f>
        <v/>
      </c>
      <c r="I29" s="3" t="n"/>
      <c r="J29" s="4" t="n"/>
      <c r="K29" s="3" t="n"/>
    </row>
    <row r="30">
      <c r="A30" s="3" t="n"/>
      <c r="B30" s="3" t="n"/>
      <c r="C30" s="3" t="n"/>
      <c r="D30" s="4" t="n"/>
      <c r="E30" s="4" t="n"/>
      <c r="F30" s="4" t="n"/>
      <c r="G30" s="3" t="n"/>
      <c r="H30" s="5">
        <f>IF(OR(F30="",G30=""),"",G30*VLOOKUP(F30,'Rate Card'!$A$2:$B$5,2,FALSE))</f>
        <v/>
      </c>
      <c r="I30" s="3" t="n"/>
      <c r="J30" s="4" t="n"/>
      <c r="K30" s="3" t="n"/>
    </row>
    <row r="31">
      <c r="A31" s="3" t="n"/>
      <c r="B31" s="3" t="n"/>
      <c r="C31" s="3" t="n"/>
      <c r="D31" s="4" t="n"/>
      <c r="E31" s="4" t="n"/>
      <c r="F31" s="4" t="n"/>
      <c r="G31" s="3" t="n"/>
      <c r="H31" s="5">
        <f>IF(OR(F31="",G31=""),"",G31*VLOOKUP(F31,'Rate Card'!$A$2:$B$5,2,FALSE))</f>
        <v/>
      </c>
      <c r="I31" s="3" t="n"/>
      <c r="J31" s="4" t="n"/>
      <c r="K31" s="3" t="n"/>
    </row>
    <row r="32">
      <c r="A32" s="3" t="n"/>
      <c r="B32" s="3" t="n"/>
      <c r="C32" s="3" t="n"/>
      <c r="D32" s="4" t="n"/>
      <c r="E32" s="4" t="n"/>
      <c r="F32" s="4" t="n"/>
      <c r="G32" s="3" t="n"/>
      <c r="H32" s="5">
        <f>IF(OR(F32="",G32=""),"",G32*VLOOKUP(F32,'Rate Card'!$A$2:$B$5,2,FALSE))</f>
        <v/>
      </c>
      <c r="I32" s="3" t="n"/>
      <c r="J32" s="4" t="n"/>
      <c r="K32" s="3" t="n"/>
    </row>
    <row r="33">
      <c r="A33" s="3" t="n"/>
      <c r="B33" s="3" t="n"/>
      <c r="C33" s="3" t="n"/>
      <c r="D33" s="4" t="n"/>
      <c r="E33" s="4" t="n"/>
      <c r="F33" s="4" t="n"/>
      <c r="G33" s="3" t="n"/>
      <c r="H33" s="5">
        <f>IF(OR(F33="",G33=""),"",G33*VLOOKUP(F33,'Rate Card'!$A$2:$B$5,2,FALSE))</f>
        <v/>
      </c>
      <c r="I33" s="3" t="n"/>
      <c r="J33" s="4" t="n"/>
      <c r="K33" s="3" t="n"/>
    </row>
    <row r="34">
      <c r="A34" s="3" t="n"/>
      <c r="B34" s="3" t="n"/>
      <c r="C34" s="3" t="n"/>
      <c r="D34" s="4" t="n"/>
      <c r="E34" s="4" t="n"/>
      <c r="F34" s="4" t="n"/>
      <c r="G34" s="3" t="n"/>
      <c r="H34" s="5">
        <f>IF(OR(F34="",G34=""),"",G34*VLOOKUP(F34,'Rate Card'!$A$2:$B$5,2,FALSE))</f>
        <v/>
      </c>
      <c r="I34" s="3" t="n"/>
      <c r="J34" s="4" t="n"/>
      <c r="K34" s="3" t="n"/>
    </row>
    <row r="35">
      <c r="A35" s="3" t="n"/>
      <c r="B35" s="3" t="n"/>
      <c r="C35" s="3" t="n"/>
      <c r="D35" s="4" t="n"/>
      <c r="E35" s="4" t="n"/>
      <c r="F35" s="4" t="n"/>
      <c r="G35" s="3" t="n"/>
      <c r="H35" s="5">
        <f>IF(OR(F35="",G35=""),"",G35*VLOOKUP(F35,'Rate Card'!$A$2:$B$5,2,FALSE))</f>
        <v/>
      </c>
      <c r="I35" s="3" t="n"/>
      <c r="J35" s="4" t="n"/>
      <c r="K35" s="3" t="n"/>
    </row>
    <row r="36">
      <c r="A36" s="3" t="n"/>
      <c r="B36" s="3" t="n"/>
      <c r="C36" s="3" t="n"/>
      <c r="D36" s="4" t="n"/>
      <c r="E36" s="4" t="n"/>
      <c r="F36" s="4" t="n"/>
      <c r="G36" s="3" t="n"/>
      <c r="H36" s="5">
        <f>IF(OR(F36="",G36=""),"",G36*VLOOKUP(F36,'Rate Card'!$A$2:$B$5,2,FALSE))</f>
        <v/>
      </c>
      <c r="I36" s="3" t="n"/>
      <c r="J36" s="4" t="n"/>
      <c r="K36" s="3" t="n"/>
    </row>
    <row r="37">
      <c r="A37" s="3" t="n"/>
      <c r="B37" s="3" t="n"/>
      <c r="C37" s="3" t="n"/>
      <c r="D37" s="4" t="n"/>
      <c r="E37" s="4" t="n"/>
      <c r="F37" s="4" t="n"/>
      <c r="G37" s="3" t="n"/>
      <c r="H37" s="5">
        <f>IF(OR(F37="",G37=""),"",G37*VLOOKUP(F37,'Rate Card'!$A$2:$B$5,2,FALSE))</f>
        <v/>
      </c>
      <c r="I37" s="3" t="n"/>
      <c r="J37" s="4" t="n"/>
      <c r="K37" s="3" t="n"/>
    </row>
    <row r="38">
      <c r="A38" s="3" t="n"/>
      <c r="B38" s="3" t="n"/>
      <c r="C38" s="3" t="n"/>
      <c r="D38" s="4" t="n"/>
      <c r="E38" s="4" t="n"/>
      <c r="F38" s="4" t="n"/>
      <c r="G38" s="3" t="n"/>
      <c r="H38" s="5">
        <f>IF(OR(F38="",G38=""),"",G38*VLOOKUP(F38,'Rate Card'!$A$2:$B$5,2,FALSE))</f>
        <v/>
      </c>
      <c r="I38" s="3" t="n"/>
      <c r="J38" s="4" t="n"/>
      <c r="K38" s="3" t="n"/>
    </row>
    <row r="39">
      <c r="A39" s="3" t="n"/>
      <c r="B39" s="3" t="n"/>
      <c r="C39" s="3" t="n"/>
      <c r="D39" s="4" t="n"/>
      <c r="E39" s="4" t="n"/>
      <c r="F39" s="4" t="n"/>
      <c r="G39" s="3" t="n"/>
      <c r="H39" s="5">
        <f>IF(OR(F39="",G39=""),"",G39*VLOOKUP(F39,'Rate Card'!$A$2:$B$5,2,FALSE))</f>
        <v/>
      </c>
      <c r="I39" s="3" t="n"/>
      <c r="J39" s="4" t="n"/>
      <c r="K39" s="3" t="n"/>
    </row>
    <row r="40">
      <c r="A40" s="3" t="n"/>
      <c r="B40" s="3" t="n"/>
      <c r="C40" s="3" t="n"/>
      <c r="D40" s="4" t="n"/>
      <c r="E40" s="4" t="n"/>
      <c r="F40" s="4" t="n"/>
      <c r="G40" s="3" t="n"/>
      <c r="H40" s="5">
        <f>IF(OR(F40="",G40=""),"",G40*VLOOKUP(F40,'Rate Card'!$A$2:$B$5,2,FALSE))</f>
        <v/>
      </c>
      <c r="I40" s="3" t="n"/>
      <c r="J40" s="4" t="n"/>
      <c r="K40" s="3" t="n"/>
    </row>
    <row r="41">
      <c r="A41" s="3" t="n"/>
      <c r="B41" s="3" t="n"/>
      <c r="C41" s="3" t="n"/>
      <c r="D41" s="4" t="n"/>
      <c r="E41" s="4" t="n"/>
      <c r="F41" s="4" t="n"/>
      <c r="G41" s="3" t="n"/>
      <c r="H41" s="5">
        <f>IF(OR(F41="",G41=""),"",G41*VLOOKUP(F41,'Rate Card'!$A$2:$B$5,2,FALSE))</f>
        <v/>
      </c>
      <c r="I41" s="3" t="n"/>
      <c r="J41" s="4" t="n"/>
      <c r="K41" s="3" t="n"/>
    </row>
    <row r="42">
      <c r="A42" s="3" t="n"/>
      <c r="B42" s="3" t="n"/>
      <c r="C42" s="3" t="n"/>
      <c r="D42" s="4" t="n"/>
      <c r="E42" s="4" t="n"/>
      <c r="F42" s="4" t="n"/>
      <c r="G42" s="3" t="n"/>
      <c r="H42" s="5">
        <f>IF(OR(F42="",G42=""),"",G42*VLOOKUP(F42,'Rate Card'!$A$2:$B$5,2,FALSE))</f>
        <v/>
      </c>
      <c r="I42" s="3" t="n"/>
      <c r="J42" s="4" t="n"/>
      <c r="K42" s="3" t="n"/>
    </row>
    <row r="43">
      <c r="A43" s="3" t="n"/>
      <c r="B43" s="3" t="n"/>
      <c r="C43" s="3" t="n"/>
      <c r="D43" s="4" t="n"/>
      <c r="E43" s="4" t="n"/>
      <c r="F43" s="4" t="n"/>
      <c r="G43" s="3" t="n"/>
      <c r="H43" s="5">
        <f>IF(OR(F43="",G43=""),"",G43*VLOOKUP(F43,'Rate Card'!$A$2:$B$5,2,FALSE))</f>
        <v/>
      </c>
      <c r="I43" s="3" t="n"/>
      <c r="J43" s="4" t="n"/>
      <c r="K43" s="3" t="n"/>
    </row>
    <row r="44">
      <c r="A44" s="3" t="n"/>
      <c r="B44" s="3" t="n"/>
      <c r="C44" s="3" t="n"/>
      <c r="D44" s="4" t="n"/>
      <c r="E44" s="4" t="n"/>
      <c r="F44" s="4" t="n"/>
      <c r="G44" s="3" t="n"/>
      <c r="H44" s="5">
        <f>IF(OR(F44="",G44=""),"",G44*VLOOKUP(F44,'Rate Card'!$A$2:$B$5,2,FALSE))</f>
        <v/>
      </c>
      <c r="I44" s="3" t="n"/>
      <c r="J44" s="4" t="n"/>
      <c r="K44" s="3" t="n"/>
    </row>
    <row r="45">
      <c r="A45" s="3" t="n"/>
      <c r="B45" s="3" t="n"/>
      <c r="C45" s="3" t="n"/>
      <c r="D45" s="4" t="n"/>
      <c r="E45" s="4" t="n"/>
      <c r="F45" s="4" t="n"/>
      <c r="G45" s="3" t="n"/>
      <c r="H45" s="5">
        <f>IF(OR(F45="",G45=""),"",G45*VLOOKUP(F45,'Rate Card'!$A$2:$B$5,2,FALSE))</f>
        <v/>
      </c>
      <c r="I45" s="3" t="n"/>
      <c r="J45" s="4" t="n"/>
      <c r="K45" s="3" t="n"/>
    </row>
    <row r="46">
      <c r="A46" s="3" t="n"/>
      <c r="B46" s="3" t="n"/>
      <c r="C46" s="3" t="n"/>
      <c r="D46" s="4" t="n"/>
      <c r="E46" s="4" t="n"/>
      <c r="F46" s="4" t="n"/>
      <c r="G46" s="3" t="n"/>
      <c r="H46" s="5">
        <f>IF(OR(F46="",G46=""),"",G46*VLOOKUP(F46,'Rate Card'!$A$2:$B$5,2,FALSE))</f>
        <v/>
      </c>
      <c r="I46" s="3" t="n"/>
      <c r="J46" s="4" t="n"/>
      <c r="K46" s="3" t="n"/>
    </row>
    <row r="47">
      <c r="A47" s="3" t="n"/>
      <c r="B47" s="3" t="n"/>
      <c r="C47" s="3" t="n"/>
      <c r="D47" s="4" t="n"/>
      <c r="E47" s="4" t="n"/>
      <c r="F47" s="4" t="n"/>
      <c r="G47" s="3" t="n"/>
      <c r="H47" s="5">
        <f>IF(OR(F47="",G47=""),"",G47*VLOOKUP(F47,'Rate Card'!$A$2:$B$5,2,FALSE))</f>
        <v/>
      </c>
      <c r="I47" s="3" t="n"/>
      <c r="J47" s="4" t="n"/>
      <c r="K47" s="3" t="n"/>
    </row>
    <row r="48">
      <c r="A48" s="3" t="n"/>
      <c r="B48" s="3" t="n"/>
      <c r="C48" s="3" t="n"/>
      <c r="D48" s="4" t="n"/>
      <c r="E48" s="4" t="n"/>
      <c r="F48" s="4" t="n"/>
      <c r="G48" s="3" t="n"/>
      <c r="H48" s="5">
        <f>IF(OR(F48="",G48=""),"",G48*VLOOKUP(F48,'Rate Card'!$A$2:$B$5,2,FALSE))</f>
        <v/>
      </c>
      <c r="I48" s="3" t="n"/>
      <c r="J48" s="4" t="n"/>
      <c r="K48" s="3" t="n"/>
    </row>
    <row r="49">
      <c r="A49" s="3" t="n"/>
      <c r="B49" s="3" t="n"/>
      <c r="C49" s="3" t="n"/>
      <c r="D49" s="4" t="n"/>
      <c r="E49" s="4" t="n"/>
      <c r="F49" s="4" t="n"/>
      <c r="G49" s="3" t="n"/>
      <c r="H49" s="5">
        <f>IF(OR(F49="",G49=""),"",G49*VLOOKUP(F49,'Rate Card'!$A$2:$B$5,2,FALSE))</f>
        <v/>
      </c>
      <c r="I49" s="3" t="n"/>
      <c r="J49" s="4" t="n"/>
      <c r="K49" s="3" t="n"/>
    </row>
    <row r="50">
      <c r="A50" s="3" t="n"/>
      <c r="B50" s="3" t="n"/>
      <c r="C50" s="3" t="n"/>
      <c r="D50" s="4" t="n"/>
      <c r="E50" s="4" t="n"/>
      <c r="F50" s="4" t="n"/>
      <c r="G50" s="3" t="n"/>
      <c r="H50" s="5">
        <f>IF(OR(F50="",G50=""),"",G50*VLOOKUP(F50,'Rate Card'!$A$2:$B$5,2,FALSE))</f>
        <v/>
      </c>
      <c r="I50" s="3" t="n"/>
      <c r="J50" s="4" t="n"/>
      <c r="K50" s="3" t="n"/>
    </row>
    <row r="51">
      <c r="A51" s="3" t="n"/>
      <c r="B51" s="3" t="n"/>
      <c r="C51" s="3" t="n"/>
      <c r="D51" s="4" t="n"/>
      <c r="E51" s="4" t="n"/>
      <c r="F51" s="4" t="n"/>
      <c r="G51" s="3" t="n"/>
      <c r="H51" s="5">
        <f>IF(OR(F51="",G51=""),"",G51*VLOOKUP(F51,'Rate Card'!$A$2:$B$5,2,FALSE))</f>
        <v/>
      </c>
      <c r="I51" s="3" t="n"/>
      <c r="J51" s="4" t="n"/>
      <c r="K51" s="3" t="n"/>
    </row>
    <row r="52">
      <c r="A52" s="3" t="n"/>
      <c r="B52" s="3" t="n"/>
      <c r="C52" s="3" t="n"/>
      <c r="D52" s="4" t="n"/>
      <c r="E52" s="4" t="n"/>
      <c r="F52" s="4" t="n"/>
      <c r="G52" s="3" t="n"/>
      <c r="H52" s="5">
        <f>IF(OR(F52="",G52=""),"",G52*VLOOKUP(F52,'Rate Card'!$A$2:$B$5,2,FALSE))</f>
        <v/>
      </c>
      <c r="I52" s="3" t="n"/>
      <c r="J52" s="4" t="n"/>
      <c r="K52" s="3" t="n"/>
    </row>
    <row r="53">
      <c r="A53" s="3" t="n"/>
      <c r="B53" s="3" t="n"/>
      <c r="C53" s="3" t="n"/>
      <c r="D53" s="4" t="n"/>
      <c r="E53" s="4" t="n"/>
      <c r="F53" s="4" t="n"/>
      <c r="G53" s="3" t="n"/>
      <c r="H53" s="5">
        <f>IF(OR(F53="",G53=""),"",G53*VLOOKUP(F53,'Rate Card'!$A$2:$B$5,2,FALSE))</f>
        <v/>
      </c>
      <c r="I53" s="3" t="n"/>
      <c r="J53" s="4" t="n"/>
      <c r="K53" s="3" t="n"/>
    </row>
    <row r="54">
      <c r="A54" s="3" t="n"/>
      <c r="B54" s="3" t="n"/>
      <c r="C54" s="3" t="n"/>
      <c r="D54" s="4" t="n"/>
      <c r="E54" s="4" t="n"/>
      <c r="F54" s="4" t="n"/>
      <c r="G54" s="3" t="n"/>
      <c r="H54" s="5">
        <f>IF(OR(F54="",G54=""),"",G54*VLOOKUP(F54,'Rate Card'!$A$2:$B$5,2,FALSE))</f>
        <v/>
      </c>
      <c r="I54" s="3" t="n"/>
      <c r="J54" s="4" t="n"/>
      <c r="K54" s="3" t="n"/>
    </row>
    <row r="55">
      <c r="A55" s="3" t="n"/>
      <c r="B55" s="3" t="n"/>
      <c r="C55" s="3" t="n"/>
      <c r="D55" s="4" t="n"/>
      <c r="E55" s="4" t="n"/>
      <c r="F55" s="4" t="n"/>
      <c r="G55" s="3" t="n"/>
      <c r="H55" s="5">
        <f>IF(OR(F55="",G55=""),"",G55*VLOOKUP(F55,'Rate Card'!$A$2:$B$5,2,FALSE))</f>
        <v/>
      </c>
      <c r="I55" s="3" t="n"/>
      <c r="J55" s="4" t="n"/>
      <c r="K55" s="3" t="n"/>
    </row>
    <row r="56">
      <c r="A56" s="3" t="n"/>
      <c r="B56" s="3" t="n"/>
      <c r="C56" s="3" t="n"/>
      <c r="D56" s="4" t="n"/>
      <c r="E56" s="4" t="n"/>
      <c r="F56" s="4" t="n"/>
      <c r="G56" s="3" t="n"/>
      <c r="H56" s="5">
        <f>IF(OR(F56="",G56=""),"",G56*VLOOKUP(F56,'Rate Card'!$A$2:$B$5,2,FALSE))</f>
        <v/>
      </c>
      <c r="I56" s="3" t="n"/>
      <c r="J56" s="4" t="n"/>
      <c r="K56" s="3" t="n"/>
    </row>
    <row r="57">
      <c r="A57" s="3" t="n"/>
      <c r="B57" s="3" t="n"/>
      <c r="C57" s="3" t="n"/>
      <c r="D57" s="4" t="n"/>
      <c r="E57" s="4" t="n"/>
      <c r="F57" s="4" t="n"/>
      <c r="G57" s="3" t="n"/>
      <c r="H57" s="5">
        <f>IF(OR(F57="",G57=""),"",G57*VLOOKUP(F57,'Rate Card'!$A$2:$B$5,2,FALSE))</f>
        <v/>
      </c>
      <c r="I57" s="3" t="n"/>
      <c r="J57" s="4" t="n"/>
      <c r="K57" s="3" t="n"/>
    </row>
    <row r="58">
      <c r="A58" s="3" t="n"/>
      <c r="B58" s="3" t="n"/>
      <c r="C58" s="3" t="n"/>
      <c r="D58" s="4" t="n"/>
      <c r="E58" s="4" t="n"/>
      <c r="F58" s="4" t="n"/>
      <c r="G58" s="3" t="n"/>
      <c r="H58" s="5">
        <f>IF(OR(F58="",G58=""),"",G58*VLOOKUP(F58,'Rate Card'!$A$2:$B$5,2,FALSE))</f>
        <v/>
      </c>
      <c r="I58" s="3" t="n"/>
      <c r="J58" s="4" t="n"/>
      <c r="K58" s="3" t="n"/>
    </row>
    <row r="59">
      <c r="A59" s="3" t="n"/>
      <c r="B59" s="3" t="n"/>
      <c r="C59" s="3" t="n"/>
      <c r="D59" s="4" t="n"/>
      <c r="E59" s="4" t="n"/>
      <c r="F59" s="4" t="n"/>
      <c r="G59" s="3" t="n"/>
      <c r="H59" s="5">
        <f>IF(OR(F59="",G59=""),"",G59*VLOOKUP(F59,'Rate Card'!$A$2:$B$5,2,FALSE))</f>
        <v/>
      </c>
      <c r="I59" s="3" t="n"/>
      <c r="J59" s="4" t="n"/>
      <c r="K59" s="3" t="n"/>
    </row>
    <row r="60">
      <c r="A60" s="3" t="n"/>
      <c r="B60" s="3" t="n"/>
      <c r="C60" s="3" t="n"/>
      <c r="D60" s="4" t="n"/>
      <c r="E60" s="4" t="n"/>
      <c r="F60" s="4" t="n"/>
      <c r="G60" s="3" t="n"/>
      <c r="H60" s="5">
        <f>IF(OR(F60="",G60=""),"",G60*VLOOKUP(F60,'Rate Card'!$A$2:$B$5,2,FALSE))</f>
        <v/>
      </c>
      <c r="I60" s="3" t="n"/>
      <c r="J60" s="4" t="n"/>
      <c r="K60" s="3" t="n"/>
    </row>
    <row r="61">
      <c r="A61" s="3" t="n"/>
      <c r="B61" s="3" t="n"/>
      <c r="C61" s="3" t="n"/>
      <c r="D61" s="4" t="n"/>
      <c r="E61" s="4" t="n"/>
      <c r="F61" s="4" t="n"/>
      <c r="G61" s="3" t="n"/>
      <c r="H61" s="5">
        <f>IF(OR(F61="",G61=""),"",G61*VLOOKUP(F61,'Rate Card'!$A$2:$B$5,2,FALSE))</f>
        <v/>
      </c>
      <c r="I61" s="3" t="n"/>
      <c r="J61" s="4" t="n"/>
      <c r="K61" s="3" t="n"/>
    </row>
    <row r="62">
      <c r="A62" s="3" t="n"/>
      <c r="B62" s="3" t="n"/>
      <c r="C62" s="3" t="n"/>
      <c r="D62" s="4" t="n"/>
      <c r="E62" s="4" t="n"/>
      <c r="F62" s="4" t="n"/>
      <c r="G62" s="3" t="n"/>
      <c r="H62" s="5">
        <f>IF(OR(F62="",G62=""),"",G62*VLOOKUP(F62,'Rate Card'!$A$2:$B$5,2,FALSE))</f>
        <v/>
      </c>
      <c r="I62" s="3" t="n"/>
      <c r="J62" s="4" t="n"/>
      <c r="K62" s="3" t="n"/>
    </row>
    <row r="63">
      <c r="A63" s="3" t="n"/>
      <c r="B63" s="3" t="n"/>
      <c r="C63" s="3" t="n"/>
      <c r="D63" s="4" t="n"/>
      <c r="E63" s="4" t="n"/>
      <c r="F63" s="4" t="n"/>
      <c r="G63" s="3" t="n"/>
      <c r="H63" s="5">
        <f>IF(OR(F63="",G63=""),"",G63*VLOOKUP(F63,'Rate Card'!$A$2:$B$5,2,FALSE))</f>
        <v/>
      </c>
      <c r="I63" s="3" t="n"/>
      <c r="J63" s="4" t="n"/>
      <c r="K63" s="3" t="n"/>
    </row>
    <row r="64">
      <c r="A64" s="3" t="n"/>
      <c r="B64" s="3" t="n"/>
      <c r="C64" s="3" t="n"/>
      <c r="D64" s="4" t="n"/>
      <c r="E64" s="4" t="n"/>
      <c r="F64" s="4" t="n"/>
      <c r="G64" s="3" t="n"/>
      <c r="H64" s="5">
        <f>IF(OR(F64="",G64=""),"",G64*VLOOKUP(F64,'Rate Card'!$A$2:$B$5,2,FALSE))</f>
        <v/>
      </c>
      <c r="I64" s="3" t="n"/>
      <c r="J64" s="4" t="n"/>
      <c r="K64" s="3" t="n"/>
    </row>
    <row r="65">
      <c r="A65" s="3" t="n"/>
      <c r="B65" s="3" t="n"/>
      <c r="C65" s="3" t="n"/>
      <c r="D65" s="4" t="n"/>
      <c r="E65" s="4" t="n"/>
      <c r="F65" s="4" t="n"/>
      <c r="G65" s="3" t="n"/>
      <c r="H65" s="5">
        <f>IF(OR(F65="",G65=""),"",G65*VLOOKUP(F65,'Rate Card'!$A$2:$B$5,2,FALSE))</f>
        <v/>
      </c>
      <c r="I65" s="3" t="n"/>
      <c r="J65" s="4" t="n"/>
      <c r="K65" s="3" t="n"/>
    </row>
    <row r="66">
      <c r="A66" s="3" t="n"/>
      <c r="B66" s="3" t="n"/>
      <c r="C66" s="3" t="n"/>
      <c r="D66" s="4" t="n"/>
      <c r="E66" s="4" t="n"/>
      <c r="F66" s="4" t="n"/>
      <c r="G66" s="3" t="n"/>
      <c r="H66" s="5">
        <f>IF(OR(F66="",G66=""),"",G66*VLOOKUP(F66,'Rate Card'!$A$2:$B$5,2,FALSE))</f>
        <v/>
      </c>
      <c r="I66" s="3" t="n"/>
      <c r="J66" s="4" t="n"/>
      <c r="K66" s="3" t="n"/>
    </row>
    <row r="67">
      <c r="A67" s="3" t="n"/>
      <c r="B67" s="3" t="n"/>
      <c r="C67" s="3" t="n"/>
      <c r="D67" s="4" t="n"/>
      <c r="E67" s="4" t="n"/>
      <c r="F67" s="4" t="n"/>
      <c r="G67" s="3" t="n"/>
      <c r="H67" s="5">
        <f>IF(OR(F67="",G67=""),"",G67*VLOOKUP(F67,'Rate Card'!$A$2:$B$5,2,FALSE))</f>
        <v/>
      </c>
      <c r="I67" s="3" t="n"/>
      <c r="J67" s="4" t="n"/>
      <c r="K67" s="3" t="n"/>
    </row>
    <row r="68">
      <c r="A68" s="3" t="n"/>
      <c r="B68" s="3" t="n"/>
      <c r="C68" s="3" t="n"/>
      <c r="D68" s="4" t="n"/>
      <c r="E68" s="4" t="n"/>
      <c r="F68" s="4" t="n"/>
      <c r="G68" s="3" t="n"/>
      <c r="H68" s="5">
        <f>IF(OR(F68="",G68=""),"",G68*VLOOKUP(F68,'Rate Card'!$A$2:$B$5,2,FALSE))</f>
        <v/>
      </c>
      <c r="I68" s="3" t="n"/>
      <c r="J68" s="4" t="n"/>
      <c r="K68" s="3" t="n"/>
    </row>
    <row r="69">
      <c r="A69" s="3" t="n"/>
      <c r="B69" s="3" t="n"/>
      <c r="C69" s="3" t="n"/>
      <c r="D69" s="4" t="n"/>
      <c r="E69" s="4" t="n"/>
      <c r="F69" s="4" t="n"/>
      <c r="G69" s="3" t="n"/>
      <c r="H69" s="5">
        <f>IF(OR(F69="",G69=""),"",G69*VLOOKUP(F69,'Rate Card'!$A$2:$B$5,2,FALSE))</f>
        <v/>
      </c>
      <c r="I69" s="3" t="n"/>
      <c r="J69" s="4" t="n"/>
      <c r="K69" s="3" t="n"/>
    </row>
    <row r="70">
      <c r="A70" s="3" t="n"/>
      <c r="B70" s="3" t="n"/>
      <c r="C70" s="3" t="n"/>
      <c r="D70" s="4" t="n"/>
      <c r="E70" s="4" t="n"/>
      <c r="F70" s="4" t="n"/>
      <c r="G70" s="3" t="n"/>
      <c r="H70" s="5">
        <f>IF(OR(F70="",G70=""),"",G70*VLOOKUP(F70,'Rate Card'!$A$2:$B$5,2,FALSE))</f>
        <v/>
      </c>
      <c r="I70" s="3" t="n"/>
      <c r="J70" s="4" t="n"/>
      <c r="K70" s="3" t="n"/>
    </row>
    <row r="71">
      <c r="A71" s="3" t="n"/>
      <c r="B71" s="3" t="n"/>
      <c r="C71" s="3" t="n"/>
      <c r="D71" s="4" t="n"/>
      <c r="E71" s="4" t="n"/>
      <c r="F71" s="4" t="n"/>
      <c r="G71" s="3" t="n"/>
      <c r="H71" s="5">
        <f>IF(OR(F71="",G71=""),"",G71*VLOOKUP(F71,'Rate Card'!$A$2:$B$5,2,FALSE))</f>
        <v/>
      </c>
      <c r="I71" s="3" t="n"/>
      <c r="J71" s="4" t="n"/>
      <c r="K71" s="3" t="n"/>
    </row>
    <row r="72">
      <c r="A72" s="3" t="n"/>
      <c r="B72" s="3" t="n"/>
      <c r="C72" s="3" t="n"/>
      <c r="D72" s="4" t="n"/>
      <c r="E72" s="4" t="n"/>
      <c r="F72" s="4" t="n"/>
      <c r="G72" s="3" t="n"/>
      <c r="H72" s="5">
        <f>IF(OR(F72="",G72=""),"",G72*VLOOKUP(F72,'Rate Card'!$A$2:$B$5,2,FALSE))</f>
        <v/>
      </c>
      <c r="I72" s="3" t="n"/>
      <c r="J72" s="4" t="n"/>
      <c r="K72" s="3" t="n"/>
    </row>
    <row r="73">
      <c r="A73" s="3" t="n"/>
      <c r="B73" s="3" t="n"/>
      <c r="C73" s="3" t="n"/>
      <c r="D73" s="4" t="n"/>
      <c r="E73" s="4" t="n"/>
      <c r="F73" s="4" t="n"/>
      <c r="G73" s="3" t="n"/>
      <c r="H73" s="5">
        <f>IF(OR(F73="",G73=""),"",G73*VLOOKUP(F73,'Rate Card'!$A$2:$B$5,2,FALSE))</f>
        <v/>
      </c>
      <c r="I73" s="3" t="n"/>
      <c r="J73" s="4" t="n"/>
      <c r="K73" s="3" t="n"/>
    </row>
    <row r="74">
      <c r="A74" s="3" t="n"/>
      <c r="B74" s="3" t="n"/>
      <c r="C74" s="3" t="n"/>
      <c r="D74" s="4" t="n"/>
      <c r="E74" s="4" t="n"/>
      <c r="F74" s="4" t="n"/>
      <c r="G74" s="3" t="n"/>
      <c r="H74" s="5">
        <f>IF(OR(F74="",G74=""),"",G74*VLOOKUP(F74,'Rate Card'!$A$2:$B$5,2,FALSE))</f>
        <v/>
      </c>
      <c r="I74" s="3" t="n"/>
      <c r="J74" s="4" t="n"/>
      <c r="K74" s="3" t="n"/>
    </row>
    <row r="75">
      <c r="A75" s="3" t="n"/>
      <c r="B75" s="3" t="n"/>
      <c r="C75" s="3" t="n"/>
      <c r="D75" s="4" t="n"/>
      <c r="E75" s="4" t="n"/>
      <c r="F75" s="4" t="n"/>
      <c r="G75" s="3" t="n"/>
      <c r="H75" s="5">
        <f>IF(OR(F75="",G75=""),"",G75*VLOOKUP(F75,'Rate Card'!$A$2:$B$5,2,FALSE))</f>
        <v/>
      </c>
      <c r="I75" s="3" t="n"/>
      <c r="J75" s="4" t="n"/>
      <c r="K75" s="3" t="n"/>
    </row>
    <row r="76">
      <c r="A76" s="3" t="n"/>
      <c r="B76" s="3" t="n"/>
      <c r="C76" s="3" t="n"/>
      <c r="D76" s="4" t="n"/>
      <c r="E76" s="4" t="n"/>
      <c r="F76" s="4" t="n"/>
      <c r="G76" s="3" t="n"/>
      <c r="H76" s="5">
        <f>IF(OR(F76="",G76=""),"",G76*VLOOKUP(F76,'Rate Card'!$A$2:$B$5,2,FALSE))</f>
        <v/>
      </c>
      <c r="I76" s="3" t="n"/>
      <c r="J76" s="4" t="n"/>
      <c r="K76" s="3" t="n"/>
    </row>
    <row r="77">
      <c r="A77" s="3" t="n"/>
      <c r="B77" s="3" t="n"/>
      <c r="C77" s="3" t="n"/>
      <c r="D77" s="4" t="n"/>
      <c r="E77" s="4" t="n"/>
      <c r="F77" s="4" t="n"/>
      <c r="G77" s="3" t="n"/>
      <c r="H77" s="5">
        <f>IF(OR(F77="",G77=""),"",G77*VLOOKUP(F77,'Rate Card'!$A$2:$B$5,2,FALSE))</f>
        <v/>
      </c>
      <c r="I77" s="3" t="n"/>
      <c r="J77" s="4" t="n"/>
      <c r="K77" s="3" t="n"/>
    </row>
    <row r="78">
      <c r="A78" s="3" t="n"/>
      <c r="B78" s="3" t="n"/>
      <c r="C78" s="3" t="n"/>
      <c r="D78" s="4" t="n"/>
      <c r="E78" s="4" t="n"/>
      <c r="F78" s="4" t="n"/>
      <c r="G78" s="3" t="n"/>
      <c r="H78" s="5">
        <f>IF(OR(F78="",G78=""),"",G78*VLOOKUP(F78,'Rate Card'!$A$2:$B$5,2,FALSE))</f>
        <v/>
      </c>
      <c r="I78" s="3" t="n"/>
      <c r="J78" s="4" t="n"/>
      <c r="K78" s="3" t="n"/>
    </row>
    <row r="79">
      <c r="A79" s="3" t="n"/>
      <c r="B79" s="3" t="n"/>
      <c r="C79" s="3" t="n"/>
      <c r="D79" s="4" t="n"/>
      <c r="E79" s="4" t="n"/>
      <c r="F79" s="4" t="n"/>
      <c r="G79" s="3" t="n"/>
      <c r="H79" s="5">
        <f>IF(OR(F79="",G79=""),"",G79*VLOOKUP(F79,'Rate Card'!$A$2:$B$5,2,FALSE))</f>
        <v/>
      </c>
      <c r="I79" s="3" t="n"/>
      <c r="J79" s="4" t="n"/>
      <c r="K79" s="3" t="n"/>
    </row>
    <row r="80">
      <c r="A80" s="3" t="n"/>
      <c r="B80" s="3" t="n"/>
      <c r="C80" s="3" t="n"/>
      <c r="D80" s="4" t="n"/>
      <c r="E80" s="4" t="n"/>
      <c r="F80" s="4" t="n"/>
      <c r="G80" s="3" t="n"/>
      <c r="H80" s="5">
        <f>IF(OR(F80="",G80=""),"",G80*VLOOKUP(F80,'Rate Card'!$A$2:$B$5,2,FALSE))</f>
        <v/>
      </c>
      <c r="I80" s="3" t="n"/>
      <c r="J80" s="4" t="n"/>
      <c r="K80" s="3" t="n"/>
    </row>
    <row r="81">
      <c r="A81" s="3" t="n"/>
      <c r="B81" s="3" t="n"/>
      <c r="C81" s="3" t="n"/>
      <c r="D81" s="4" t="n"/>
      <c r="E81" s="4" t="n"/>
      <c r="F81" s="4" t="n"/>
      <c r="G81" s="3" t="n"/>
      <c r="H81" s="5">
        <f>IF(OR(F81="",G81=""),"",G81*VLOOKUP(F81,'Rate Card'!$A$2:$B$5,2,FALSE))</f>
        <v/>
      </c>
      <c r="I81" s="3" t="n"/>
      <c r="J81" s="4" t="n"/>
      <c r="K81" s="3" t="n"/>
    </row>
    <row r="82">
      <c r="A82" s="3" t="n"/>
      <c r="B82" s="3" t="n"/>
      <c r="C82" s="3" t="n"/>
      <c r="D82" s="4" t="n"/>
      <c r="E82" s="4" t="n"/>
      <c r="F82" s="4" t="n"/>
      <c r="G82" s="3" t="n"/>
      <c r="H82" s="5">
        <f>IF(OR(F82="",G82=""),"",G82*VLOOKUP(F82,'Rate Card'!$A$2:$B$5,2,FALSE))</f>
        <v/>
      </c>
      <c r="I82" s="3" t="n"/>
      <c r="J82" s="4" t="n"/>
      <c r="K82" s="3" t="n"/>
    </row>
    <row r="83">
      <c r="A83" s="3" t="n"/>
      <c r="B83" s="3" t="n"/>
      <c r="C83" s="3" t="n"/>
      <c r="D83" s="4" t="n"/>
      <c r="E83" s="4" t="n"/>
      <c r="F83" s="4" t="n"/>
      <c r="G83" s="3" t="n"/>
      <c r="H83" s="5">
        <f>IF(OR(F83="",G83=""),"",G83*VLOOKUP(F83,'Rate Card'!$A$2:$B$5,2,FALSE))</f>
        <v/>
      </c>
      <c r="I83" s="3" t="n"/>
      <c r="J83" s="4" t="n"/>
      <c r="K83" s="3" t="n"/>
    </row>
    <row r="84">
      <c r="A84" s="3" t="n"/>
      <c r="B84" s="3" t="n"/>
      <c r="C84" s="3" t="n"/>
      <c r="D84" s="4" t="n"/>
      <c r="E84" s="4" t="n"/>
      <c r="F84" s="4" t="n"/>
      <c r="G84" s="3" t="n"/>
      <c r="H84" s="5">
        <f>IF(OR(F84="",G84=""),"",G84*VLOOKUP(F84,'Rate Card'!$A$2:$B$5,2,FALSE))</f>
        <v/>
      </c>
      <c r="I84" s="3" t="n"/>
      <c r="J84" s="4" t="n"/>
      <c r="K84" s="3" t="n"/>
    </row>
    <row r="85">
      <c r="A85" s="3" t="n"/>
      <c r="B85" s="3" t="n"/>
      <c r="C85" s="3" t="n"/>
      <c r="D85" s="4" t="n"/>
      <c r="E85" s="4" t="n"/>
      <c r="F85" s="4" t="n"/>
      <c r="G85" s="3" t="n"/>
      <c r="H85" s="5">
        <f>IF(OR(F85="",G85=""),"",G85*VLOOKUP(F85,'Rate Card'!$A$2:$B$5,2,FALSE))</f>
        <v/>
      </c>
      <c r="I85" s="3" t="n"/>
      <c r="J85" s="4" t="n"/>
      <c r="K85" s="3" t="n"/>
    </row>
    <row r="86">
      <c r="A86" s="3" t="n"/>
      <c r="B86" s="3" t="n"/>
      <c r="C86" s="3" t="n"/>
      <c r="D86" s="4" t="n"/>
      <c r="E86" s="4" t="n"/>
      <c r="F86" s="4" t="n"/>
      <c r="G86" s="3" t="n"/>
      <c r="H86" s="5">
        <f>IF(OR(F86="",G86=""),"",G86*VLOOKUP(F86,'Rate Card'!$A$2:$B$5,2,FALSE))</f>
        <v/>
      </c>
      <c r="I86" s="3" t="n"/>
      <c r="J86" s="4" t="n"/>
      <c r="K86" s="3" t="n"/>
    </row>
    <row r="87">
      <c r="A87" s="3" t="n"/>
      <c r="B87" s="3" t="n"/>
      <c r="C87" s="3" t="n"/>
      <c r="D87" s="4" t="n"/>
      <c r="E87" s="4" t="n"/>
      <c r="F87" s="4" t="n"/>
      <c r="G87" s="3" t="n"/>
      <c r="H87" s="5">
        <f>IF(OR(F87="",G87=""),"",G87*VLOOKUP(F87,'Rate Card'!$A$2:$B$5,2,FALSE))</f>
        <v/>
      </c>
      <c r="I87" s="3" t="n"/>
      <c r="J87" s="4" t="n"/>
      <c r="K87" s="3" t="n"/>
    </row>
    <row r="88">
      <c r="A88" s="3" t="n"/>
      <c r="B88" s="3" t="n"/>
      <c r="C88" s="3" t="n"/>
      <c r="D88" s="4" t="n"/>
      <c r="E88" s="4" t="n"/>
      <c r="F88" s="4" t="n"/>
      <c r="G88" s="3" t="n"/>
      <c r="H88" s="5">
        <f>IF(OR(F88="",G88=""),"",G88*VLOOKUP(F88,'Rate Card'!$A$2:$B$5,2,FALSE))</f>
        <v/>
      </c>
      <c r="I88" s="3" t="n"/>
      <c r="J88" s="4" t="n"/>
      <c r="K88" s="3" t="n"/>
    </row>
    <row r="89">
      <c r="A89" s="3" t="n"/>
      <c r="B89" s="3" t="n"/>
      <c r="C89" s="3" t="n"/>
      <c r="D89" s="4" t="n"/>
      <c r="E89" s="4" t="n"/>
      <c r="F89" s="4" t="n"/>
      <c r="G89" s="3" t="n"/>
      <c r="H89" s="5">
        <f>IF(OR(F89="",G89=""),"",G89*VLOOKUP(F89,'Rate Card'!$A$2:$B$5,2,FALSE))</f>
        <v/>
      </c>
      <c r="I89" s="3" t="n"/>
      <c r="J89" s="4" t="n"/>
      <c r="K89" s="3" t="n"/>
    </row>
    <row r="90">
      <c r="A90" s="3" t="n"/>
      <c r="B90" s="3" t="n"/>
      <c r="C90" s="3" t="n"/>
      <c r="D90" s="4" t="n"/>
      <c r="E90" s="4" t="n"/>
      <c r="F90" s="4" t="n"/>
      <c r="G90" s="3" t="n"/>
      <c r="H90" s="5">
        <f>IF(OR(F90="",G90=""),"",G90*VLOOKUP(F90,'Rate Card'!$A$2:$B$5,2,FALSE))</f>
        <v/>
      </c>
      <c r="I90" s="3" t="n"/>
      <c r="J90" s="4" t="n"/>
      <c r="K90" s="3" t="n"/>
    </row>
    <row r="91">
      <c r="A91" s="3" t="n"/>
      <c r="B91" s="3" t="n"/>
      <c r="C91" s="3" t="n"/>
      <c r="D91" s="4" t="n"/>
      <c r="E91" s="4" t="n"/>
      <c r="F91" s="4" t="n"/>
      <c r="G91" s="3" t="n"/>
      <c r="H91" s="5">
        <f>IF(OR(F91="",G91=""),"",G91*VLOOKUP(F91,'Rate Card'!$A$2:$B$5,2,FALSE))</f>
        <v/>
      </c>
      <c r="I91" s="3" t="n"/>
      <c r="J91" s="4" t="n"/>
      <c r="K91" s="3" t="n"/>
    </row>
    <row r="92">
      <c r="A92" s="3" t="n"/>
      <c r="B92" s="3" t="n"/>
      <c r="C92" s="3" t="n"/>
      <c r="D92" s="4" t="n"/>
      <c r="E92" s="4" t="n"/>
      <c r="F92" s="4" t="n"/>
      <c r="G92" s="3" t="n"/>
      <c r="H92" s="5">
        <f>IF(OR(F92="",G92=""),"",G92*VLOOKUP(F92,'Rate Card'!$A$2:$B$5,2,FALSE))</f>
        <v/>
      </c>
      <c r="I92" s="3" t="n"/>
      <c r="J92" s="4" t="n"/>
      <c r="K92" s="3" t="n"/>
    </row>
    <row r="93">
      <c r="A93" s="3" t="n"/>
      <c r="B93" s="3" t="n"/>
      <c r="C93" s="3" t="n"/>
      <c r="D93" s="4" t="n"/>
      <c r="E93" s="4" t="n"/>
      <c r="F93" s="4" t="n"/>
      <c r="G93" s="3" t="n"/>
      <c r="H93" s="5">
        <f>IF(OR(F93="",G93=""),"",G93*VLOOKUP(F93,'Rate Card'!$A$2:$B$5,2,FALSE))</f>
        <v/>
      </c>
      <c r="I93" s="3" t="n"/>
      <c r="J93" s="4" t="n"/>
      <c r="K93" s="3" t="n"/>
    </row>
    <row r="94">
      <c r="A94" s="3" t="n"/>
      <c r="B94" s="3" t="n"/>
      <c r="C94" s="3" t="n"/>
      <c r="D94" s="4" t="n"/>
      <c r="E94" s="4" t="n"/>
      <c r="F94" s="4" t="n"/>
      <c r="G94" s="3" t="n"/>
      <c r="H94" s="5">
        <f>IF(OR(F94="",G94=""),"",G94*VLOOKUP(F94,'Rate Card'!$A$2:$B$5,2,FALSE))</f>
        <v/>
      </c>
      <c r="I94" s="3" t="n"/>
      <c r="J94" s="4" t="n"/>
      <c r="K94" s="3" t="n"/>
    </row>
    <row r="95">
      <c r="A95" s="3" t="n"/>
      <c r="B95" s="3" t="n"/>
      <c r="C95" s="3" t="n"/>
      <c r="D95" s="4" t="n"/>
      <c r="E95" s="4" t="n"/>
      <c r="F95" s="4" t="n"/>
      <c r="G95" s="3" t="n"/>
      <c r="H95" s="5">
        <f>IF(OR(F95="",G95=""),"",G95*VLOOKUP(F95,'Rate Card'!$A$2:$B$5,2,FALSE))</f>
        <v/>
      </c>
      <c r="I95" s="3" t="n"/>
      <c r="J95" s="4" t="n"/>
      <c r="K95" s="3" t="n"/>
    </row>
    <row r="96">
      <c r="A96" s="3" t="n"/>
      <c r="B96" s="3" t="n"/>
      <c r="C96" s="3" t="n"/>
      <c r="D96" s="4" t="n"/>
      <c r="E96" s="4" t="n"/>
      <c r="F96" s="4" t="n"/>
      <c r="G96" s="3" t="n"/>
      <c r="H96" s="5">
        <f>IF(OR(F96="",G96=""),"",G96*VLOOKUP(F96,'Rate Card'!$A$2:$B$5,2,FALSE))</f>
        <v/>
      </c>
      <c r="I96" s="3" t="n"/>
      <c r="J96" s="4" t="n"/>
      <c r="K96" s="3" t="n"/>
    </row>
    <row r="97">
      <c r="A97" s="3" t="n"/>
      <c r="B97" s="3" t="n"/>
      <c r="C97" s="3" t="n"/>
      <c r="D97" s="4" t="n"/>
      <c r="E97" s="4" t="n"/>
      <c r="F97" s="4" t="n"/>
      <c r="G97" s="3" t="n"/>
      <c r="H97" s="5">
        <f>IF(OR(F97="",G97=""),"",G97*VLOOKUP(F97,'Rate Card'!$A$2:$B$5,2,FALSE))</f>
        <v/>
      </c>
      <c r="I97" s="3" t="n"/>
      <c r="J97" s="4" t="n"/>
      <c r="K97" s="3" t="n"/>
    </row>
    <row r="98">
      <c r="A98" s="3" t="n"/>
      <c r="B98" s="3" t="n"/>
      <c r="C98" s="3" t="n"/>
      <c r="D98" s="4" t="n"/>
      <c r="E98" s="4" t="n"/>
      <c r="F98" s="4" t="n"/>
      <c r="G98" s="3" t="n"/>
      <c r="H98" s="5">
        <f>IF(OR(F98="",G98=""),"",G98*VLOOKUP(F98,'Rate Card'!$A$2:$B$5,2,FALSE))</f>
        <v/>
      </c>
      <c r="I98" s="3" t="n"/>
      <c r="J98" s="4" t="n"/>
      <c r="K98" s="3" t="n"/>
    </row>
    <row r="99">
      <c r="A99" s="3" t="n"/>
      <c r="B99" s="3" t="n"/>
      <c r="C99" s="3" t="n"/>
      <c r="D99" s="4" t="n"/>
      <c r="E99" s="4" t="n"/>
      <c r="F99" s="4" t="n"/>
      <c r="G99" s="3" t="n"/>
      <c r="H99" s="5">
        <f>IF(OR(F99="",G99=""),"",G99*VLOOKUP(F99,'Rate Card'!$A$2:$B$5,2,FALSE))</f>
        <v/>
      </c>
      <c r="I99" s="3" t="n"/>
      <c r="J99" s="4" t="n"/>
      <c r="K99" s="3" t="n"/>
    </row>
    <row r="100">
      <c r="A100" s="3" t="n"/>
      <c r="B100" s="3" t="n"/>
      <c r="C100" s="3" t="n"/>
      <c r="D100" s="4" t="n"/>
      <c r="E100" s="4" t="n"/>
      <c r="F100" s="4" t="n"/>
      <c r="G100" s="3" t="n"/>
      <c r="H100" s="5">
        <f>IF(OR(F100="",G100=""),"",G100*VLOOKUP(F100,'Rate Card'!$A$2:$B$5,2,FALSE))</f>
        <v/>
      </c>
      <c r="I100" s="3" t="n"/>
      <c r="J100" s="4" t="n"/>
      <c r="K100" s="3" t="n"/>
    </row>
    <row r="101">
      <c r="A101" s="3" t="n"/>
      <c r="B101" s="3" t="n"/>
      <c r="C101" s="3" t="n"/>
      <c r="D101" s="4" t="n"/>
      <c r="E101" s="4" t="n"/>
      <c r="F101" s="4" t="n"/>
      <c r="G101" s="3" t="n"/>
      <c r="H101" s="5">
        <f>IF(OR(F101="",G101=""),"",G101*VLOOKUP(F101,'Rate Card'!$A$2:$B$5,2,FALSE))</f>
        <v/>
      </c>
      <c r="I101" s="3" t="n"/>
      <c r="J101" s="4" t="n"/>
      <c r="K101" s="3" t="n"/>
    </row>
    <row r="102">
      <c r="A102" s="3" t="n"/>
      <c r="B102" s="3" t="n"/>
      <c r="C102" s="3" t="n"/>
      <c r="D102" s="4" t="n"/>
      <c r="E102" s="4" t="n"/>
      <c r="F102" s="4" t="n"/>
      <c r="G102" s="3" t="n"/>
      <c r="H102" s="5">
        <f>IF(OR(F102="",G102=""),"",G102*VLOOKUP(F102,'Rate Card'!$A$2:$B$5,2,FALSE))</f>
        <v/>
      </c>
      <c r="I102" s="3" t="n"/>
      <c r="J102" s="4" t="n"/>
      <c r="K102" s="3" t="n"/>
    </row>
  </sheetData>
  <mergeCells count="1">
    <mergeCell ref="A1:K1"/>
  </mergeCells>
  <dataValidations count="4">
    <dataValidation sqref="D3 D4 D5 D6 D7 D8 D9 D10 D11 D12 D13 D14 D15 D16 D17 D18 D19 D20 D21 D22 D23 D24 D25 D26 D27 D28 D29 D30 D31 D32 D33 D34 D35 D36 D37 D38 D39 D40 D41 D42 D43 D44 D45 D46 D47 D48 D49 D50 D51 D52 D53 D54 D55 D56 D57 D58 D59 D60 D61 D62 D63 D64 D65 D66 D67 D68 D69 D70 D71 D72 D73 D74 D75 D76 D77 D78 D79 D80 D81 D82 D83 D84 D85 D86 D87 D88 D89 D90 D91 D92 D93 D94 D95 D96 D97 D98 D99 D100 D101 D102" showDropDown="0" showInputMessage="0" showErrorMessage="0" allowBlank="1" type="list">
      <formula1>"ProAsiste,EduAsiste"</formula1>
    </dataValidation>
    <dataValidation sqref="E3 E4 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showDropDown="0" showInputMessage="0" showErrorMessage="0" allowBlank="1" type="list">
      <formula1>"Prospect,Qualified,Demo Scheduled,Proposal Sent,Pro (Won),Member,On Hold,Lost"</formula1>
    </dataValidation>
    <dataValidation sqref="F3 F4 F5 F6 F7 F8 F9 F10 F11 F12 F13 F14 F15 F16 F17 F18 F19 F20 F21 F22 F23 F24 F25 F26 F27 F28 F29 F30 F31 F32 F33 F34 F35 F36 F37 F38 F39 F40 F41 F42 F43 F44 F45 F46 F47 F48 F49 F50 F51 F52 F53 F54 F55 F56 F57 F58 F59 F60 F61 F62 F63 F64 F65 F66 F67 F68 F69 F70 F71 F72 F73 F74 F75 F76 F77 F78 F79 F80 F81 F82 F83 F84 F85 F86 F87 F88 F89 F90 F91 F92 F93 F94 F95 F96 F97 F98 F99 F100 F101 F102" showDropDown="0" showInputMessage="0" showErrorMessage="0" allowBlank="1" type="list">
      <formula1>"SILVER,GOLD,PLATINUM,DIAMOND"</formula1>
    </dataValidation>
    <dataValidation sqref="J3 J4 J5 J6 J7 J8 J9 J10 J11 J12 J13 J14 J15 J16 J17 J18 J19 J20 J21 J22 J23 J24 J25 J26 J27 J28 J29 J30 J31 J32 J33 J34 J35 J36 J37 J38 J39 J40 J41 J42 J43 J44 J45 J46 J47 J48 J49 J50 J51 J52 J53 J54 J55 J56 J57 J58 J59 J60 J61 J62 J63 J64 J65 J66 J67 J68 J69 J70 J71 J72 J73 J74 J75 J76 J77 J78 J79 J80 J81 J82 J83 J84 J85 J86 J87 J88 J89 J90 J91 J92 J93 J94 J95 J96 J97 J98 J99 J100 J101 J102" showDropDown="0" showInputMessage="0" showErrorMessage="0" allowBlank="1" type="date"/>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Tier</t>
        </is>
      </c>
      <c r="B1" t="inlineStr">
        <is>
          <t>Annual Fee</t>
        </is>
      </c>
    </row>
    <row r="2">
      <c r="A2" t="inlineStr">
        <is>
          <t>SILVER</t>
        </is>
      </c>
      <c r="B2" t="n">
        <v>199</v>
      </c>
    </row>
    <row r="3">
      <c r="A3" t="inlineStr">
        <is>
          <t>GOLD</t>
        </is>
      </c>
      <c r="B3" t="n">
        <v>349</v>
      </c>
    </row>
    <row r="4">
      <c r="A4" t="inlineStr">
        <is>
          <t>PLATINUM</t>
        </is>
      </c>
      <c r="B4" t="n">
        <v>489</v>
      </c>
    </row>
    <row r="5">
      <c r="A5" t="inlineStr">
        <is>
          <t>DIAMOND</t>
        </is>
      </c>
      <c r="B5" t="n">
        <v>689</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1"/>
  <sheetViews>
    <sheetView showGridLines="0" workbookViewId="0">
      <selection activeCell="A1" sqref="A1"/>
    </sheetView>
  </sheetViews>
  <sheetFormatPr baseColWidth="8" defaultRowHeight="15"/>
  <cols>
    <col width="20" customWidth="1" min="1" max="1"/>
    <col width="14" customWidth="1" min="2" max="2"/>
    <col width="18" customWidth="1" min="3" max="3"/>
  </cols>
  <sheetData>
    <row r="1">
      <c r="A1" s="6" t="inlineStr">
        <is>
          <t>Pipeline Summary</t>
        </is>
      </c>
    </row>
    <row r="2">
      <c r="A2" s="7" t="inlineStr">
        <is>
          <t>Stage</t>
        </is>
      </c>
      <c r="B2" s="7" t="inlineStr">
        <is>
          <t>Count</t>
        </is>
      </c>
      <c r="C2" s="7" t="inlineStr">
        <is>
          <t>Est. Annual Value</t>
        </is>
      </c>
    </row>
    <row r="3">
      <c r="A3" s="4" t="inlineStr">
        <is>
          <t>Prospect</t>
        </is>
      </c>
      <c r="B3" s="4">
        <f>COUNTIF(Pipeline!$E$3:$E$102,"Prospect")</f>
        <v/>
      </c>
      <c r="C3" s="5">
        <f>SUMIF(Pipeline!$E$3:$E$102,"Prospect",Pipeline!$H$3:$H$102)</f>
        <v/>
      </c>
    </row>
    <row r="4">
      <c r="A4" s="4" t="inlineStr">
        <is>
          <t>Qualified</t>
        </is>
      </c>
      <c r="B4" s="4">
        <f>COUNTIF(Pipeline!$E$3:$E$102,"Qualified")</f>
        <v/>
      </c>
      <c r="C4" s="5">
        <f>SUMIF(Pipeline!$E$3:$E$102,"Qualified",Pipeline!$H$3:$H$102)</f>
        <v/>
      </c>
    </row>
    <row r="5">
      <c r="A5" s="4" t="inlineStr">
        <is>
          <t>Demo Scheduled</t>
        </is>
      </c>
      <c r="B5" s="4">
        <f>COUNTIF(Pipeline!$E$3:$E$102,"Demo Scheduled")</f>
        <v/>
      </c>
      <c r="C5" s="5">
        <f>SUMIF(Pipeline!$E$3:$E$102,"Demo Scheduled",Pipeline!$H$3:$H$102)</f>
        <v/>
      </c>
    </row>
    <row r="6">
      <c r="A6" s="4" t="inlineStr">
        <is>
          <t>Proposal Sent</t>
        </is>
      </c>
      <c r="B6" s="4">
        <f>COUNTIF(Pipeline!$E$3:$E$102,"Proposal Sent")</f>
        <v/>
      </c>
      <c r="C6" s="5">
        <f>SUMIF(Pipeline!$E$3:$E$102,"Proposal Sent",Pipeline!$H$3:$H$102)</f>
        <v/>
      </c>
    </row>
    <row r="7">
      <c r="A7" s="4" t="inlineStr">
        <is>
          <t>Pro (Won)</t>
        </is>
      </c>
      <c r="B7" s="4">
        <f>COUNTIF(Pipeline!$E$3:$E$102,"Pro (Won)")</f>
        <v/>
      </c>
      <c r="C7" s="5">
        <f>SUMIF(Pipeline!$E$3:$E$102,"Pro (Won)",Pipeline!$H$3:$H$102)</f>
        <v/>
      </c>
    </row>
    <row r="8">
      <c r="A8" s="4" t="inlineStr">
        <is>
          <t>Member</t>
        </is>
      </c>
      <c r="B8" s="4">
        <f>COUNTIF(Pipeline!$E$3:$E$102,"Member")</f>
        <v/>
      </c>
      <c r="C8" s="5">
        <f>SUMIF(Pipeline!$E$3:$E$102,"Member",Pipeline!$H$3:$H$102)</f>
        <v/>
      </c>
    </row>
    <row r="9">
      <c r="A9" s="4" t="inlineStr">
        <is>
          <t>On Hold</t>
        </is>
      </c>
      <c r="B9" s="4">
        <f>COUNTIF(Pipeline!$E$3:$E$102,"On Hold")</f>
        <v/>
      </c>
      <c r="C9" s="5">
        <f>SUMIF(Pipeline!$E$3:$E$102,"On Hold",Pipeline!$H$3:$H$102)</f>
        <v/>
      </c>
    </row>
    <row r="10">
      <c r="A10" s="4" t="inlineStr">
        <is>
          <t>Lost</t>
        </is>
      </c>
      <c r="B10" s="4">
        <f>COUNTIF(Pipeline!$E$3:$E$102,"Lost")</f>
        <v/>
      </c>
      <c r="C10" s="5">
        <f>SUMIF(Pipeline!$E$3:$E$102,"Lost",Pipeline!$H$3:$H$102)</f>
        <v/>
      </c>
    </row>
    <row r="11">
      <c r="A11" s="8" t="inlineStr">
        <is>
          <t>TOTAL</t>
        </is>
      </c>
      <c r="B11" s="8">
        <f>SUM(B3:B10)</f>
        <v/>
      </c>
      <c r="C11" s="9">
        <f>SUM(C3:C10)</f>
        <v/>
      </c>
    </row>
  </sheetData>
  <mergeCells count="1">
    <mergeCell ref="A1:C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2026-06-08T18:52:36Z</dcterms:created>
  <dcterms:modified xmlns:dcterms="http://purl.org/dc/terms/" xmlns:xsi="http://www.w3.org/2001/XMLSchema-instance" xsi:type="dcterms:W3CDTF">2026-06-08T18:52:36Z</dcterms:modified>
</cp:coreProperties>
</file>