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Calculator" sheetId="1" state="visible" r:id="rId1"/>
    <sheet xmlns:r="http://schemas.openxmlformats.org/officeDocument/2006/relationships" name="Rate 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F1D2C"/>
      <sz val="16"/>
    </font>
    <font>
      <i val="1"/>
      <color rgb="006B7A8A"/>
      <sz val="9"/>
    </font>
    <font>
      <b val="1"/>
      <color rgb="0092700F"/>
      <sz val="12"/>
    </font>
    <font>
      <b val="1"/>
      <color rgb="000F1D2C"/>
    </font>
    <font>
      <b val="1"/>
      <color rgb="0092700F"/>
    </font>
  </fonts>
  <fills count="6">
    <fill>
      <patternFill/>
    </fill>
    <fill>
      <patternFill patternType="gray125"/>
    </fill>
    <fill>
      <patternFill patternType="solid">
        <fgColor rgb="0092700F"/>
      </patternFill>
    </fill>
    <fill>
      <patternFill patternType="solid">
        <fgColor rgb="00CFB382"/>
      </patternFill>
    </fill>
    <fill>
      <patternFill patternType="solid">
        <fgColor rgb="00FFF3B0"/>
      </patternFill>
    </fill>
    <fill>
      <patternFill patternType="solid">
        <fgColor rgb="00FBF8E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/>
    </xf>
    <xf numFmtId="164" fontId="0" fillId="0" borderId="1" pivotButton="0" quotePrefix="0" xfId="0"/>
    <xf numFmtId="0" fontId="5" fillId="5" borderId="0" pivotButton="0" quotePrefix="0" xfId="0"/>
    <xf numFmtId="164" fontId="6" fillId="5" borderId="1" pivotButton="0" quotePrefix="0" xfId="0"/>
    <xf numFmtId="0" fontId="3" fillId="0" borderId="0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3238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4" customWidth="1" min="4" max="4"/>
    <col width="40" customWidth="1" min="5" max="5"/>
  </cols>
  <sheetData>
    <row r="1" ht="30" customHeight="1">
      <c r="A1" s="1" t="inlineStr">
        <is>
          <t>ProAsiste — Pricing &amp; ROI Calculator</t>
        </is>
      </c>
    </row>
    <row r="2">
      <c r="A2" s="2" t="inlineStr">
        <is>
          <t>Yellow cells are inputs. Everything else recalculates automatically.</t>
        </is>
      </c>
    </row>
    <row r="4">
      <c r="A4" s="3" t="inlineStr">
        <is>
          <t>INPUTS</t>
        </is>
      </c>
    </row>
    <row r="5">
      <c r="A5" t="inlineStr">
        <is>
          <t>Tier</t>
        </is>
      </c>
      <c r="B5" s="4" t="inlineStr">
        <is>
          <t>GOLD</t>
        </is>
      </c>
    </row>
    <row r="6">
      <c r="A6" t="inlineStr">
        <is>
          <t>Number of seats</t>
        </is>
      </c>
      <c r="B6" s="4" t="n">
        <v>5</v>
      </c>
    </row>
    <row r="7">
      <c r="A7" t="inlineStr">
        <is>
          <t>Billing</t>
        </is>
      </c>
      <c r="B7" s="4" t="inlineStr">
        <is>
          <t>Annual</t>
        </is>
      </c>
    </row>
    <row r="8">
      <c r="A8" t="inlineStr">
        <is>
          <t>Add-on projects (total)</t>
        </is>
      </c>
      <c r="B8" s="4" t="n">
        <v>0</v>
      </c>
    </row>
    <row r="9">
      <c r="A9" t="inlineStr">
        <is>
          <t>Certified staff (setup waiver if ≥ 2)</t>
        </is>
      </c>
      <c r="B9" s="4" t="n">
        <v>0</v>
      </c>
    </row>
    <row r="10">
      <c r="A10" t="inlineStr">
        <is>
          <t>Certification course / person ($)</t>
        </is>
      </c>
      <c r="B10" s="4" t="n">
        <v>2750</v>
      </c>
    </row>
    <row r="12">
      <c r="A12" s="3" t="inlineStr">
        <is>
          <t>RESULTS</t>
        </is>
      </c>
    </row>
    <row r="13">
      <c r="A13" t="inlineStr">
        <is>
          <t>Setup fee per seat</t>
        </is>
      </c>
      <c r="B13" s="5">
        <f>VLOOKUP(B5,'Rate Card'!$A$2:$F$5,2,FALSE)</f>
        <v/>
      </c>
    </row>
    <row r="14">
      <c r="A14" t="inlineStr">
        <is>
          <t>Setup — without certification</t>
        </is>
      </c>
      <c r="B14" s="5">
        <f>B6*VLOOKUP(B5,'Rate Card'!$A$2:$F$5,2,FALSE)</f>
        <v/>
      </c>
    </row>
    <row r="15">
      <c r="A15" t="inlineStr">
        <is>
          <t>Setup — with certification waiver</t>
        </is>
      </c>
      <c r="B15" s="5">
        <f>IF(B9&gt;=2,B9*VLOOKUP(B5,'Rate Card'!$A$2:$F$5,2,FALSE),B6*VLOOKUP(B5,'Rate Card'!$A$2:$F$5,2,FALSE))</f>
        <v/>
      </c>
    </row>
    <row r="16">
      <c r="A16" t="inlineStr">
        <is>
          <t>Certification course cost</t>
        </is>
      </c>
      <c r="B16" s="5">
        <f>B9*B10</f>
        <v/>
      </c>
    </row>
    <row r="17">
      <c r="A17" t="inlineStr">
        <is>
          <t>Recurring per seat / year</t>
        </is>
      </c>
      <c r="B17" s="5">
        <f>IF(B7="Annual",VLOOKUP(B5,'Rate Card'!$A$2:$F$5,4,FALSE),VLOOKUP(B5,'Rate Card'!$A$2:$F$5,3,FALSE)*12)</f>
        <v/>
      </c>
    </row>
    <row r="18">
      <c r="A18" t="inlineStr">
        <is>
          <t>Recurring — all seats / year</t>
        </is>
      </c>
      <c r="B18" s="5">
        <f>B6*IF(B7="Annual",VLOOKUP(B5,'Rate Card'!$A$2:$F$5,4,FALSE),VLOOKUP(B5,'Rate Card'!$A$2:$F$5,3,FALSE)*12)</f>
        <v/>
      </c>
    </row>
    <row r="19">
      <c r="A19" t="inlineStr">
        <is>
          <t>Add-on projects / year (all seats)</t>
        </is>
      </c>
      <c r="B19" s="5">
        <f>B6*MAX(0,B8-VLOOKUP(B5,'Rate Card'!$A$2:$F$5,6,FALSE))*VLOOKUP(B5,'Rate Card'!$A$2:$F$5,5,FALSE)*12</f>
        <v/>
      </c>
    </row>
    <row r="20">
      <c r="A20" s="6" t="inlineStr">
        <is>
          <t>YEAR 1 TOTAL</t>
        </is>
      </c>
      <c r="B20" s="7">
        <f>IF(B9&gt;=2,B9*VLOOKUP(B5,'Rate Card'!$A$2:$F$5,2,FALSE),B6*VLOOKUP(B5,'Rate Card'!$A$2:$F$5,2,FALSE))+B9*B10+B6*IF(B7="Annual",VLOOKUP(B5,'Rate Card'!$A$2:$F$5,4,FALSE),VLOOKUP(B5,'Rate Card'!$A$2:$F$5,3,FALSE)*12)+B6*MAX(0,B8-VLOOKUP(B5,'Rate Card'!$A$2:$F$5,6,FALSE))*VLOOKUP(B5,'Rate Card'!$A$2:$F$5,5,FALSE)*12</f>
        <v/>
      </c>
    </row>
    <row r="21">
      <c r="A21" s="6" t="inlineStr">
        <is>
          <t>ONGOING / YEAR (yr 2+)</t>
        </is>
      </c>
      <c r="B21" s="7">
        <f>B6*IF(B7="Annual",VLOOKUP(B5,'Rate Card'!$A$2:$F$5,4,FALSE),VLOOKUP(B5,'Rate Card'!$A$2:$F$5,3,FALSE)*12)+B6*MAX(0,B8-VLOOKUP(B5,'Rate Card'!$A$2:$F$5,6,FALSE))*VLOOKUP(B5,'Rate Card'!$A$2:$F$5,5,FALSE)*12</f>
        <v/>
      </c>
    </row>
    <row r="22">
      <c r="A22" t="inlineStr">
        <is>
          <t>Setup saved by certification</t>
        </is>
      </c>
      <c r="B22" s="5">
        <f>(B6*VLOOKUP(B5,'Rate Card'!$A$2:$F$5,2,FALSE))-IF(B9&gt;=2,B9*VLOOKUP(B5,'Rate Card'!$A$2:$F$5,2,FALSE),B6*VLOOKUP(B5,'Rate Card'!$A$2:$F$5,2,FALSE))</f>
        <v/>
      </c>
    </row>
    <row r="24" ht="42" customHeight="1">
      <c r="A24" s="8" t="inlineStr">
        <is>
          <t>Certification waiver (PRICING-SPEC §2.3): with ≥ 2 certified staff, certified staff configure colleagues and colleague setup fees are $0. Figures are estimates — confirm final pricing with AIVP before quoting.</t>
        </is>
      </c>
    </row>
  </sheetData>
  <mergeCells count="2">
    <mergeCell ref="A1:E1"/>
    <mergeCell ref="A24:E24"/>
  </mergeCells>
  <dataValidations count="5">
    <dataValidation sqref="B5" showDropDown="0" showInputMessage="0" showErrorMessage="0" allowBlank="0" type="list">
      <formula1>"SILVER,GOLD,PLATINUM,DIAMOND"</formula1>
    </dataValidation>
    <dataValidation sqref="B6" showDropDown="0" showInputMessage="0" showErrorMessage="0" allowBlank="0" type="whole" operator="greaterThanOrEqual">
      <formula1>0</formula1>
    </dataValidation>
    <dataValidation sqref="B7" showDropDown="0" showInputMessage="0" showErrorMessage="0" allowBlank="0" type="list">
      <formula1>"Monthly,Annual"</formula1>
    </dataValidation>
    <dataValidation sqref="B8" showDropDown="0" showInputMessage="0" showErrorMessage="0" allowBlank="0" type="whole" operator="greaterThanOrEqual">
      <formula1>0</formula1>
    </dataValidation>
    <dataValidation sqref="B9" showDropDown="0" showInputMessage="0" showErrorMessage="0" allowBlank="0" type="whole" operator="greaterThanOrEqual">
      <formula1>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6" customWidth="1" min="5" max="5"/>
    <col width="16" customWidth="1" min="6" max="6"/>
    <col width="12" customWidth="1" min="7" max="7"/>
  </cols>
  <sheetData>
    <row r="1">
      <c r="A1" s="9" t="inlineStr">
        <is>
          <t>Tier</t>
        </is>
      </c>
      <c r="B1" s="9" t="inlineStr">
        <is>
          <t>Setup Fee</t>
        </is>
      </c>
      <c r="C1" s="9" t="inlineStr">
        <is>
          <t>Monthly Fee</t>
        </is>
      </c>
      <c r="D1" s="9" t="inlineStr">
        <is>
          <t>Annual Fee</t>
        </is>
      </c>
      <c r="E1" s="9" t="inlineStr">
        <is>
          <t>Add-on / project</t>
        </is>
      </c>
      <c r="F1" s="9" t="inlineStr">
        <is>
          <t>Included projects</t>
        </is>
      </c>
      <c r="G1" s="9" t="inlineStr">
        <is>
          <t>Min seats</t>
        </is>
      </c>
    </row>
    <row r="2">
      <c r="A2" s="10" t="inlineStr">
        <is>
          <t>SILVER</t>
        </is>
      </c>
      <c r="B2" s="5" t="n">
        <v>97</v>
      </c>
      <c r="C2" s="5" t="n">
        <v>20</v>
      </c>
      <c r="D2" s="5" t="n">
        <v>199</v>
      </c>
      <c r="E2" s="5" t="n">
        <v>12.99</v>
      </c>
      <c r="F2" s="5" t="n">
        <v>1</v>
      </c>
      <c r="G2" s="5" t="n">
        <v>1</v>
      </c>
    </row>
    <row r="3">
      <c r="A3" s="10" t="inlineStr">
        <is>
          <t>GOLD</t>
        </is>
      </c>
      <c r="B3" s="5" t="n">
        <v>332</v>
      </c>
      <c r="C3" s="5" t="n">
        <v>35</v>
      </c>
      <c r="D3" s="5" t="n">
        <v>349</v>
      </c>
      <c r="E3" s="5" t="n">
        <v>9.99</v>
      </c>
      <c r="F3" s="5" t="n">
        <v>3</v>
      </c>
      <c r="G3" s="5" t="n">
        <v>3</v>
      </c>
    </row>
    <row r="4">
      <c r="A4" s="10" t="inlineStr">
        <is>
          <t>PLATINUM</t>
        </is>
      </c>
      <c r="B4" s="5" t="n">
        <v>997</v>
      </c>
      <c r="C4" s="5" t="n">
        <v>49</v>
      </c>
      <c r="D4" s="5" t="n">
        <v>489</v>
      </c>
      <c r="E4" s="5" t="n">
        <v>6.99</v>
      </c>
      <c r="F4" s="5" t="n">
        <v>6</v>
      </c>
      <c r="G4" s="5" t="n">
        <v>10</v>
      </c>
    </row>
    <row r="5">
      <c r="A5" s="10" t="inlineStr">
        <is>
          <t>DIAMOND</t>
        </is>
      </c>
      <c r="B5" s="5" t="n">
        <v>997</v>
      </c>
      <c r="C5" s="5" t="n">
        <v>69</v>
      </c>
      <c r="D5" s="5" t="n">
        <v>689</v>
      </c>
      <c r="E5" s="5" t="n">
        <v>4.99</v>
      </c>
      <c r="F5" s="5" t="n">
        <v>9</v>
      </c>
      <c r="G5" s="5" t="n">
        <v>50</v>
      </c>
    </row>
    <row r="7">
      <c r="A7" t="inlineStr">
        <is>
          <t>Certification course / person</t>
        </is>
      </c>
      <c r="B7" t="n">
        <v>2750</v>
      </c>
      <c r="C7" t="inlineStr">
        <is>
          <t>PRICING-SPEC §2 (TBD $2,500–3,000)</t>
        </is>
      </c>
    </row>
    <row r="8">
      <c r="A8" t="inlineStr">
        <is>
          <t>Annual discount</t>
        </is>
      </c>
      <c r="B8" t="inlineStr">
        <is>
          <t>~17%</t>
        </is>
      </c>
      <c r="C8" t="inlineStr">
        <is>
          <t>10 months for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2026-06-08T18:52:57Z</dcterms:created>
  <dcterms:modified xmlns:dcterms="http://purl.org/dc/terms/" xmlns:xsi="http://www.w3.org/2001/XMLSchema-instance" xsi:type="dcterms:W3CDTF">2026-06-08T18:52:57Z</dcterms:modified>
</cp:coreProperties>
</file>